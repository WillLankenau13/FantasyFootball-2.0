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19a7e912f33dbe/Documents/R Stuff/FantasyFootball 2.0/"/>
    </mc:Choice>
  </mc:AlternateContent>
  <xr:revisionPtr revIDLastSave="0" documentId="13_ncr:1_{AEC18E0A-2E59-4054-A964-A09D4F34971B}" xr6:coauthVersionLast="47" xr6:coauthVersionMax="47" xr10:uidLastSave="{00000000-0000-0000-0000-000000000000}"/>
  <bookViews>
    <workbookView xWindow="-98" yWindow="-98" windowWidth="21795" windowHeight="12975" xr2:uid="{13BCEF64-642C-4F09-BD4D-9EA1E7381C35}"/>
  </bookViews>
  <sheets>
    <sheet name="Sheet1" sheetId="1" r:id="rId1"/>
  </sheets>
  <definedNames>
    <definedName name="_xlnm._FilterDatabase" localSheetId="0" hidden="1">Sheet1!$C$1:$C$728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3" i="1" l="1"/>
  <c r="O3" i="1" a="1"/>
  <c r="O3" i="1" s="1"/>
  <c r="O15" i="1" a="1"/>
  <c r="O4" i="1" a="1"/>
  <c r="O5" i="1" a="1"/>
  <c r="O6" i="1" a="1"/>
  <c r="O8" i="1" a="1"/>
  <c r="O10" i="1" a="1"/>
  <c r="O7" i="1" a="1"/>
  <c r="O13" i="1" a="1"/>
  <c r="O13" i="1" s="1"/>
  <c r="O9" i="1" a="1"/>
  <c r="O9" i="1" s="1"/>
  <c r="O12" i="1" a="1"/>
  <c r="O12" i="1" s="1"/>
  <c r="O14" i="1" a="1"/>
  <c r="O14" i="1" s="1"/>
  <c r="O16" i="1" a="1"/>
  <c r="O16" i="1" s="1"/>
  <c r="O19" i="1" a="1"/>
  <c r="O19" i="1" s="1"/>
  <c r="O21" i="1" a="1"/>
  <c r="O21" i="1" s="1"/>
  <c r="O17" i="1" a="1"/>
  <c r="O17" i="1" s="1"/>
  <c r="O20" i="1" a="1"/>
  <c r="O20" i="1" s="1"/>
  <c r="O25" i="1" a="1"/>
  <c r="O22" i="1" a="1"/>
  <c r="O22" i="1" s="1"/>
  <c r="O28" i="1" a="1"/>
  <c r="O28" i="1" s="1"/>
  <c r="O31" i="1" a="1"/>
  <c r="O33" i="1" a="1"/>
  <c r="O38" i="1" a="1"/>
  <c r="O38" i="1" s="1"/>
  <c r="O40" i="1" a="1"/>
  <c r="O40" i="1" s="1"/>
  <c r="O44" i="1" a="1"/>
  <c r="O47" i="1" a="1"/>
  <c r="O11" i="1" a="1"/>
  <c r="O24" i="1" a="1"/>
  <c r="O24" i="1" s="1"/>
  <c r="O18" i="1" a="1"/>
  <c r="O18" i="1" s="1"/>
  <c r="O27" i="1" a="1"/>
  <c r="O27" i="1" s="1"/>
  <c r="O51" i="1" a="1"/>
  <c r="O23" i="1" a="1"/>
  <c r="O57" i="1" a="1"/>
  <c r="O57" i="1" s="1"/>
  <c r="O62" i="1" a="1"/>
  <c r="O62" i="1" s="1"/>
  <c r="O29" i="1" a="1"/>
  <c r="O32" i="1" a="1"/>
  <c r="O32" i="1" s="1"/>
  <c r="O67" i="1" a="1"/>
  <c r="O67" i="1" s="1"/>
  <c r="O72" i="1" a="1"/>
  <c r="O72" i="1" s="1"/>
  <c r="O79" i="1" a="1"/>
  <c r="O79" i="1" s="1"/>
  <c r="O86" i="1" a="1"/>
  <c r="O86" i="1" s="1"/>
  <c r="O93" i="1" a="1"/>
  <c r="O26" i="1" a="1"/>
  <c r="O30" i="1" a="1"/>
  <c r="O30" i="1" s="1"/>
  <c r="O34" i="1" a="1"/>
  <c r="O34" i="1" s="1"/>
  <c r="O36" i="1" a="1"/>
  <c r="O37" i="1" a="1"/>
  <c r="O39" i="1" a="1"/>
  <c r="O41" i="1" a="1"/>
  <c r="O41" i="1" s="1"/>
  <c r="O43" i="1" a="1"/>
  <c r="O43" i="1" s="1"/>
  <c r="O101" i="1" a="1"/>
  <c r="O101" i="1" s="1"/>
  <c r="O46" i="1" a="1"/>
  <c r="O46" i="1" s="1"/>
  <c r="O48" i="1" a="1"/>
  <c r="O48" i="1" s="1"/>
  <c r="O50" i="1" a="1"/>
  <c r="O50" i="1" s="1"/>
  <c r="O35" i="1" a="1"/>
  <c r="O35" i="1" s="1"/>
  <c r="O110" i="1" a="1"/>
  <c r="O110" i="1" s="1"/>
  <c r="O52" i="1" a="1"/>
  <c r="O42" i="1" a="1"/>
  <c r="O49" i="1" a="1"/>
  <c r="O56" i="1" a="1"/>
  <c r="O121" i="1" a="1"/>
  <c r="O58" i="1" a="1"/>
  <c r="O60" i="1" a="1"/>
  <c r="O63" i="1" a="1"/>
  <c r="O63" i="1" s="1"/>
  <c r="O66" i="1" a="1"/>
  <c r="O66" i="1" s="1"/>
  <c r="O136" i="1" a="1"/>
  <c r="O69" i="1" a="1"/>
  <c r="O45" i="1" a="1"/>
  <c r="O155" i="1" a="1"/>
  <c r="O155" i="1" s="1"/>
  <c r="O168" i="1" a="1"/>
  <c r="O168" i="1" s="1"/>
  <c r="O70" i="1" a="1"/>
  <c r="O70" i="1" s="1"/>
  <c r="O54" i="1" a="1"/>
  <c r="O54" i="1" s="1"/>
  <c r="O169" i="1" a="1"/>
  <c r="O169" i="1" s="1"/>
  <c r="O73" i="1" a="1"/>
  <c r="O73" i="1" s="1"/>
  <c r="O53" i="1" a="1"/>
  <c r="O53" i="1" s="1"/>
  <c r="O170" i="1" a="1"/>
  <c r="O170" i="1" s="1"/>
  <c r="O76" i="1" a="1"/>
  <c r="O76" i="1" s="1"/>
  <c r="O171" i="1" a="1"/>
  <c r="O171" i="1" s="1"/>
  <c r="O78" i="1" a="1"/>
  <c r="O78" i="1" s="1"/>
  <c r="O61" i="1" a="1"/>
  <c r="O61" i="1" s="1"/>
  <c r="O68" i="1" a="1"/>
  <c r="O68" i="1" s="1"/>
  <c r="O81" i="1" a="1"/>
  <c r="O75" i="1" a="1"/>
  <c r="O83" i="1" a="1"/>
  <c r="O80" i="1" a="1"/>
  <c r="O80" i="1" s="1"/>
  <c r="O87" i="1" a="1"/>
  <c r="O85" i="1" a="1"/>
  <c r="O64" i="1" a="1"/>
  <c r="O88" i="1" a="1"/>
  <c r="O90" i="1" a="1"/>
  <c r="O74" i="1" a="1"/>
  <c r="O74" i="1" s="1"/>
  <c r="O91" i="1" a="1"/>
  <c r="O91" i="1" s="1"/>
  <c r="O99" i="1" a="1"/>
  <c r="O99" i="1" s="1"/>
  <c r="O92" i="1" a="1"/>
  <c r="O92" i="1" s="1"/>
  <c r="O105" i="1" a="1"/>
  <c r="O105" i="1" s="1"/>
  <c r="O172" i="1" a="1"/>
  <c r="O96" i="1" a="1"/>
  <c r="O96" i="1" s="1"/>
  <c r="O111" i="1" a="1"/>
  <c r="O111" i="1" s="1"/>
  <c r="O97" i="1" a="1"/>
  <c r="O97" i="1" s="1"/>
  <c r="O100" i="1" a="1"/>
  <c r="O100" i="1" s="1"/>
  <c r="O118" i="1" a="1"/>
  <c r="O118" i="1" s="1"/>
  <c r="O173" i="1" a="1"/>
  <c r="O102" i="1" a="1"/>
  <c r="O106" i="1" a="1"/>
  <c r="O106" i="1" s="1"/>
  <c r="O174" i="1" a="1"/>
  <c r="O174" i="1" s="1"/>
  <c r="O108" i="1" a="1"/>
  <c r="O175" i="1" a="1"/>
  <c r="O109" i="1" a="1"/>
  <c r="O109" i="1" s="1"/>
  <c r="O84" i="1" a="1"/>
  <c r="O84" i="1" s="1"/>
  <c r="O94" i="1" a="1"/>
  <c r="O94" i="1" s="1"/>
  <c r="O113" i="1" a="1"/>
  <c r="O113" i="1" s="1"/>
  <c r="O115" i="1" a="1"/>
  <c r="O176" i="1" a="1"/>
  <c r="O176" i="1" s="1"/>
  <c r="O125" i="1" a="1"/>
  <c r="O125" i="1" s="1"/>
  <c r="O177" i="1" a="1"/>
  <c r="O131" i="1" a="1"/>
  <c r="O138" i="1" a="1"/>
  <c r="O138" i="1" s="1"/>
  <c r="O178" i="1" a="1"/>
  <c r="O178" i="1" s="1"/>
  <c r="O179" i="1" a="1"/>
  <c r="O179" i="1" s="1"/>
  <c r="O117" i="1" a="1"/>
  <c r="O117" i="1" s="1"/>
  <c r="O145" i="1" a="1"/>
  <c r="O145" i="1" s="1"/>
  <c r="O119" i="1" a="1"/>
  <c r="O124" i="1" a="1"/>
  <c r="O103" i="1" a="1"/>
  <c r="O103" i="1" s="1"/>
  <c r="O112" i="1" a="1"/>
  <c r="O112" i="1" s="1"/>
  <c r="O126" i="1" a="1"/>
  <c r="O150" i="1" a="1"/>
  <c r="O150" i="1" s="1"/>
  <c r="O128" i="1" a="1"/>
  <c r="O128" i="1" s="1"/>
  <c r="O123" i="1" a="1"/>
  <c r="O123" i="1" s="1"/>
  <c r="O148" i="1" a="1"/>
  <c r="O148" i="1" s="1"/>
  <c r="O129" i="1" a="1"/>
  <c r="O129" i="1" s="1"/>
  <c r="O130" i="1" a="1"/>
  <c r="O130" i="1" s="1"/>
  <c r="O135" i="1" a="1"/>
  <c r="O135" i="1" s="1"/>
  <c r="O133" i="1" a="1"/>
  <c r="O133" i="1" s="1"/>
  <c r="O159" i="1" a="1"/>
  <c r="O159" i="1" s="1"/>
  <c r="O137" i="1" a="1"/>
  <c r="O116" i="1" a="1"/>
  <c r="O107" i="1" a="1"/>
  <c r="O107" i="1" s="1"/>
  <c r="O139" i="1" a="1"/>
  <c r="O139" i="1" s="1"/>
  <c r="O98" i="1" a="1"/>
  <c r="O98" i="1" s="1"/>
  <c r="O89" i="1" a="1"/>
  <c r="O89" i="1" s="1"/>
  <c r="R89" i="1" s="1"/>
  <c r="O141" i="1" a="1"/>
  <c r="O144" i="1" a="1"/>
  <c r="O144" i="1" s="1"/>
  <c r="O147" i="1" a="1"/>
  <c r="O147" i="1" s="1"/>
  <c r="O149" i="1" a="1"/>
  <c r="O149" i="1" s="1"/>
  <c r="O143" i="1" a="1"/>
  <c r="O153" i="1" a="1"/>
  <c r="O153" i="1" s="1"/>
  <c r="O156" i="1" a="1"/>
  <c r="O156" i="1" s="1"/>
  <c r="O165" i="1" a="1"/>
  <c r="O165" i="1" s="1"/>
  <c r="O95" i="1" a="1"/>
  <c r="O95" i="1" s="1"/>
  <c r="O104" i="1" a="1"/>
  <c r="O104" i="1" s="1"/>
  <c r="O154" i="1" a="1"/>
  <c r="O154" i="1" s="1"/>
  <c r="O157" i="1" a="1"/>
  <c r="O157" i="1" s="1"/>
  <c r="O82" i="1" a="1"/>
  <c r="O82" i="1" s="1"/>
  <c r="O164" i="1" a="1"/>
  <c r="O164" i="1" s="1"/>
  <c r="O77" i="1" a="1"/>
  <c r="O77" i="1" s="1"/>
  <c r="O160" i="1" a="1"/>
  <c r="O160" i="1" s="1"/>
  <c r="O162" i="1" a="1"/>
  <c r="O162" i="1" s="1"/>
  <c r="O180" i="1" a="1"/>
  <c r="O180" i="1" s="1"/>
  <c r="O181" i="1" a="1"/>
  <c r="O181" i="1" s="1"/>
  <c r="O114" i="1" a="1"/>
  <c r="O166" i="1" a="1"/>
  <c r="O166" i="1" s="1"/>
  <c r="O167" i="1" a="1"/>
  <c r="O167" i="1" s="1"/>
  <c r="O182" i="1" a="1"/>
  <c r="O122" i="1" a="1"/>
  <c r="O122" i="1" s="1"/>
  <c r="O71" i="1" a="1"/>
  <c r="O71" i="1" s="1"/>
  <c r="O132" i="1" a="1"/>
  <c r="O132" i="1" s="1"/>
  <c r="O183" i="1" a="1"/>
  <c r="O142" i="1" a="1"/>
  <c r="O142" i="1" s="1"/>
  <c r="O151" i="1" a="1"/>
  <c r="O151" i="1" s="1"/>
  <c r="O161" i="1" a="1"/>
  <c r="O161" i="1" s="1"/>
  <c r="O184" i="1" a="1"/>
  <c r="O184" i="1" s="1"/>
  <c r="O185" i="1" a="1"/>
  <c r="O185" i="1" s="1"/>
  <c r="O186" i="1" a="1"/>
  <c r="O186" i="1" s="1"/>
  <c r="O188" i="1" a="1"/>
  <c r="O188" i="1" s="1"/>
  <c r="O187" i="1" a="1"/>
  <c r="O187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8" i="1" a="1"/>
  <c r="O198" i="1" s="1"/>
  <c r="O199" i="1" a="1"/>
  <c r="O199" i="1" s="1"/>
  <c r="O200" i="1" a="1"/>
  <c r="O201" i="1" a="1"/>
  <c r="O202" i="1" a="1"/>
  <c r="O65" i="1" a="1"/>
  <c r="O203" i="1" a="1"/>
  <c r="O204" i="1" a="1"/>
  <c r="O204" i="1" s="1"/>
  <c r="O205" i="1" a="1"/>
  <c r="O205" i="1" s="1"/>
  <c r="O206" i="1" a="1"/>
  <c r="O206" i="1" s="1"/>
  <c r="O207" i="1" a="1"/>
  <c r="O207" i="1" s="1"/>
  <c r="O209" i="1" a="1"/>
  <c r="O209" i="1" s="1"/>
  <c r="O208" i="1" a="1"/>
  <c r="O208" i="1" s="1"/>
  <c r="O210" i="1" a="1"/>
  <c r="O210" i="1" s="1"/>
  <c r="O211" i="1" a="1"/>
  <c r="O211" i="1" s="1"/>
  <c r="O212" i="1" a="1"/>
  <c r="O212" i="1" s="1"/>
  <c r="O213" i="1" a="1"/>
  <c r="O214" i="1" a="1"/>
  <c r="O214" i="1" s="1"/>
  <c r="O215" i="1" a="1"/>
  <c r="O215" i="1" s="1"/>
  <c r="O216" i="1" a="1"/>
  <c r="O216" i="1" s="1"/>
  <c r="O217" i="1" a="1"/>
  <c r="O218" i="1" a="1"/>
  <c r="O218" i="1" s="1"/>
  <c r="O219" i="1" a="1"/>
  <c r="O219" i="1" s="1"/>
  <c r="O120" i="1" a="1"/>
  <c r="O120" i="1" s="1"/>
  <c r="O127" i="1" a="1"/>
  <c r="O127" i="1" s="1"/>
  <c r="O220" i="1" a="1"/>
  <c r="O220" i="1" s="1"/>
  <c r="O134" i="1" a="1"/>
  <c r="O134" i="1" s="1"/>
  <c r="O140" i="1" a="1"/>
  <c r="O140" i="1" s="1"/>
  <c r="O221" i="1" a="1"/>
  <c r="O221" i="1" s="1"/>
  <c r="O222" i="1" a="1"/>
  <c r="O146" i="1" a="1"/>
  <c r="O152" i="1" a="1"/>
  <c r="O152" i="1" s="1"/>
  <c r="O158" i="1" a="1"/>
  <c r="O158" i="1" s="1"/>
  <c r="O223" i="1" a="1"/>
  <c r="O223" i="1" s="1"/>
  <c r="O163" i="1" a="1"/>
  <c r="O163" i="1" s="1"/>
  <c r="O224" i="1" a="1"/>
  <c r="O224" i="1" s="1"/>
  <c r="O225" i="1" a="1"/>
  <c r="O59" i="1" a="1"/>
  <c r="O226" i="1" a="1"/>
  <c r="O226" i="1" s="1"/>
  <c r="O55" i="1" a="1"/>
  <c r="O55" i="1" s="1"/>
  <c r="O227" i="1" a="1"/>
  <c r="O228" i="1" a="1"/>
  <c r="O228" i="1" s="1"/>
  <c r="O229" i="1" a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1" i="1" a="1"/>
  <c r="O241" i="1" s="1"/>
  <c r="O242" i="1" a="1"/>
  <c r="O242" i="1" s="1"/>
  <c r="O243" i="1" a="1"/>
  <c r="O244" i="1" a="1"/>
  <c r="O245" i="1" a="1"/>
  <c r="O245" i="1" s="1"/>
  <c r="O246" i="1" a="1"/>
  <c r="O246" i="1" s="1"/>
  <c r="O247" i="1" a="1"/>
  <c r="O248" i="1" a="1"/>
  <c r="O249" i="1" a="1"/>
  <c r="O250" i="1" a="1"/>
  <c r="O250" i="1" s="1"/>
  <c r="O251" i="1" a="1"/>
  <c r="O251" i="1" s="1"/>
  <c r="O252" i="1" a="1"/>
  <c r="O252" i="1" s="1"/>
  <c r="R252" i="1" s="1"/>
  <c r="O253" i="1" a="1"/>
  <c r="O253" i="1" s="1"/>
  <c r="O645" i="1" a="1"/>
  <c r="O645" i="1" s="1"/>
  <c r="O398" i="1" a="1"/>
  <c r="O398" i="1" s="1"/>
  <c r="O270" i="1" a="1"/>
  <c r="O270" i="1" s="1"/>
  <c r="O443" i="1" a="1"/>
  <c r="O443" i="1" s="1"/>
  <c r="O683" i="1" a="1"/>
  <c r="O683" i="1" s="1"/>
  <c r="O326" i="1" a="1"/>
  <c r="O326" i="1" s="1"/>
  <c r="O697" i="1" a="1"/>
  <c r="O697" i="1" s="1"/>
  <c r="O381" i="1" a="1"/>
  <c r="O381" i="1" s="1"/>
  <c r="O428" i="1" a="1"/>
  <c r="O428" i="1" s="1"/>
  <c r="O578" i="1" a="1"/>
  <c r="O520" i="1" a="1"/>
  <c r="O712" i="1" a="1"/>
  <c r="O713" i="1" a="1"/>
  <c r="O713" i="1" s="1"/>
  <c r="O271" i="1" a="1"/>
  <c r="O684" i="1" a="1"/>
  <c r="O698" i="1" a="1"/>
  <c r="O382" i="1" a="1"/>
  <c r="O382" i="1" s="1"/>
  <c r="O535" i="1" a="1"/>
  <c r="O535" i="1" s="1"/>
  <c r="O286" i="1" a="1"/>
  <c r="O461" i="1" a="1"/>
  <c r="O461" i="1" s="1"/>
  <c r="O669" i="1" a="1"/>
  <c r="O669" i="1" s="1"/>
  <c r="O551" i="1" a="1"/>
  <c r="O551" i="1" s="1"/>
  <c r="O521" i="1" a="1"/>
  <c r="O521" i="1" s="1"/>
  <c r="O579" i="1" a="1"/>
  <c r="O579" i="1" s="1"/>
  <c r="O272" i="1" a="1"/>
  <c r="O272" i="1" s="1"/>
  <c r="O444" i="1" a="1"/>
  <c r="O444" i="1" s="1"/>
  <c r="O606" i="1" a="1"/>
  <c r="O606" i="1" s="1"/>
  <c r="O633" i="1" a="1"/>
  <c r="O633" i="1" s="1"/>
  <c r="O298" i="1" a="1"/>
  <c r="O298" i="1" s="1"/>
  <c r="O327" i="1" a="1"/>
  <c r="O646" i="1" a="1"/>
  <c r="O399" i="1" a="1"/>
  <c r="O399" i="1" s="1"/>
  <c r="O429" i="1" a="1"/>
  <c r="O429" i="1" s="1"/>
  <c r="O413" i="1" a="1"/>
  <c r="O413" i="1" s="1"/>
  <c r="O414" i="1" a="1"/>
  <c r="O273" i="1" a="1"/>
  <c r="O273" i="1" s="1"/>
  <c r="O494" i="1" a="1"/>
  <c r="O494" i="1" s="1"/>
  <c r="O353" i="1" a="1"/>
  <c r="O353" i="1" s="1"/>
  <c r="O591" i="1" a="1"/>
  <c r="O566" i="1" a="1"/>
  <c r="O566" i="1" s="1"/>
  <c r="O623" i="1" a="1"/>
  <c r="O623" i="1" s="1"/>
  <c r="O522" i="1" a="1"/>
  <c r="O481" i="1" a="1"/>
  <c r="O507" i="1" a="1"/>
  <c r="O507" i="1" s="1"/>
  <c r="O657" i="1" a="1"/>
  <c r="O657" i="1"/>
  <c r="O340" i="1" a="1"/>
  <c r="O340" i="1" s="1"/>
  <c r="O383" i="1" a="1"/>
  <c r="O383" i="1" s="1"/>
  <c r="O311" i="1" a="1"/>
  <c r="O311" i="1" s="1"/>
  <c r="O536" i="1" a="1"/>
  <c r="O536" i="1" s="1"/>
  <c r="O274" i="1" a="1"/>
  <c r="O366" i="1" a="1"/>
  <c r="O699" i="1" a="1"/>
  <c r="O699" i="1" s="1"/>
  <c r="O275" i="1" a="1"/>
  <c r="O275" i="1" s="1"/>
  <c r="O508" i="1" a="1"/>
  <c r="O508" i="1" s="1"/>
  <c r="O567" i="1" a="1"/>
  <c r="O567" i="1" s="1"/>
  <c r="O634" i="1" a="1"/>
  <c r="O634" i="1" s="1"/>
  <c r="O592" i="1" a="1"/>
  <c r="O592" i="1" s="1"/>
  <c r="O552" i="1" a="1"/>
  <c r="O552" i="1" s="1"/>
  <c r="O312" i="1" a="1"/>
  <c r="O312" i="1" s="1"/>
  <c r="O445" i="1" a="1"/>
  <c r="O445" i="1" s="1"/>
  <c r="O328" i="1" a="1"/>
  <c r="O328" i="1" s="1"/>
  <c r="O647" i="1" a="1"/>
  <c r="O647" i="1" s="1"/>
  <c r="O462" i="1" a="1"/>
  <c r="O495" i="1" a="1"/>
  <c r="O495" i="1"/>
  <c r="O415" i="1" a="1"/>
  <c r="O607" i="1" a="1"/>
  <c r="O384" i="1" a="1"/>
  <c r="O299" i="1" a="1"/>
  <c r="O299" i="1" s="1"/>
  <c r="O496" i="1" a="1"/>
  <c r="O496" i="1" s="1"/>
  <c r="O568" i="1" a="1"/>
  <c r="O354" i="1" a="1"/>
  <c r="O354" i="1" s="1"/>
  <c r="O367" i="1" a="1"/>
  <c r="O367" i="1" s="1"/>
  <c r="O593" i="1" a="1"/>
  <c r="O593" i="1" s="1"/>
  <c r="O276" i="1" a="1"/>
  <c r="O313" i="1" a="1"/>
  <c r="O313" i="1" s="1"/>
  <c r="R313" i="1" s="1"/>
  <c r="O266" i="1" a="1"/>
  <c r="O266" i="1" s="1"/>
  <c r="O260" i="1" a="1"/>
  <c r="O260" i="1" s="1"/>
  <c r="O255" i="1" a="1"/>
  <c r="O255" i="1" s="1"/>
  <c r="O569" i="1" a="1"/>
  <c r="O569" i="1" s="1"/>
  <c r="O385" i="1" a="1"/>
  <c r="O385" i="1" s="1"/>
  <c r="O509" i="1" a="1"/>
  <c r="O509" i="1" s="1"/>
  <c r="O537" i="1" a="1"/>
  <c r="O537" i="1" s="1"/>
  <c r="O463" i="1" a="1"/>
  <c r="O463" i="1" s="1"/>
  <c r="O277" i="1" a="1"/>
  <c r="O277" i="1" s="1"/>
  <c r="O523" i="1" a="1"/>
  <c r="O523" i="1" s="1"/>
  <c r="O685" i="1" a="1"/>
  <c r="O685" i="1" s="1"/>
  <c r="O482" i="1" a="1"/>
  <c r="O482" i="1" s="1"/>
  <c r="O624" i="1" a="1"/>
  <c r="O624" i="1" s="1"/>
  <c r="O538" i="1" a="1"/>
  <c r="O538" i="1" s="1"/>
  <c r="O608" i="1" a="1"/>
  <c r="O608" i="1" s="1"/>
  <c r="O686" i="1" a="1"/>
  <c r="O300" i="1" a="1"/>
  <c r="O464" i="1" a="1"/>
  <c r="O464" i="1" s="1"/>
  <c r="O355" i="1" a="1"/>
  <c r="O355" i="1" s="1"/>
  <c r="O670" i="1" a="1"/>
  <c r="O329" i="1" a="1"/>
  <c r="O329" i="1" s="1"/>
  <c r="O714" i="1" a="1"/>
  <c r="O714" i="1" s="1"/>
  <c r="R714" i="1" s="1"/>
  <c r="O356" i="1" a="1"/>
  <c r="O356" i="1" s="1"/>
  <c r="O580" i="1" a="1"/>
  <c r="O580" i="1" s="1"/>
  <c r="O386" i="1" a="1"/>
  <c r="O386" i="1" s="1"/>
  <c r="O700" i="1" a="1"/>
  <c r="O700" i="1" s="1"/>
  <c r="O570" i="1" a="1"/>
  <c r="O570" i="1" s="1"/>
  <c r="O658" i="1" a="1"/>
  <c r="O658" i="1" s="1"/>
  <c r="O416" i="1" a="1"/>
  <c r="O416" i="1" s="1"/>
  <c r="O581" i="1" a="1"/>
  <c r="O581" i="1" s="1"/>
  <c r="O465" i="1" a="1"/>
  <c r="O465" i="1" s="1"/>
  <c r="O648" i="1" a="1"/>
  <c r="O648" i="1" s="1"/>
  <c r="O387" i="1" a="1"/>
  <c r="O387" i="1" s="1"/>
  <c r="O671" i="1" a="1"/>
  <c r="O671" i="1" s="1"/>
  <c r="O571" i="1" a="1"/>
  <c r="O430" i="1" a="1"/>
  <c r="O430" i="1" s="1"/>
  <c r="O635" i="1" a="1"/>
  <c r="O635" i="1" s="1"/>
  <c r="O625" i="1" a="1"/>
  <c r="O672" i="1" a="1"/>
  <c r="O341" i="1" a="1"/>
  <c r="O400" i="1" a="1"/>
  <c r="O497" i="1" a="1"/>
  <c r="O368" i="1" a="1"/>
  <c r="O368" i="1" s="1"/>
  <c r="O483" i="1" a="1"/>
  <c r="O483" i="1" s="1"/>
  <c r="O431" i="1" a="1"/>
  <c r="O431" i="1" s="1"/>
  <c r="O446" i="1" a="1"/>
  <c r="O446" i="1" s="1"/>
  <c r="O609" i="1" a="1"/>
  <c r="O609" i="1" s="1"/>
  <c r="O610" i="1" a="1"/>
  <c r="O610" i="1" s="1"/>
  <c r="O539" i="1" a="1"/>
  <c r="O539" i="1" s="1"/>
  <c r="O401" i="1" a="1"/>
  <c r="O401" i="1" s="1"/>
  <c r="O388" i="1" a="1"/>
  <c r="O388" i="1" s="1"/>
  <c r="O582" i="1" a="1"/>
  <c r="O582" i="1" s="1"/>
  <c r="O369" i="1" a="1"/>
  <c r="O369" i="1" s="1"/>
  <c r="O314" i="1" a="1"/>
  <c r="O314" i="1" s="1"/>
  <c r="O553" i="1" a="1"/>
  <c r="O484" i="1" a="1"/>
  <c r="O484" i="1" s="1"/>
  <c r="O540" i="1" a="1"/>
  <c r="O540" i="1" s="1"/>
  <c r="O301" i="1" a="1"/>
  <c r="O301" i="1" s="1"/>
  <c r="O715" i="1" a="1"/>
  <c r="O715" i="1" s="1"/>
  <c r="O315" i="1" a="1"/>
  <c r="O554" i="1" a="1"/>
  <c r="O594" i="1" a="1"/>
  <c r="O583" i="1" a="1"/>
  <c r="O510" i="1" a="1"/>
  <c r="O555" i="1" a="1"/>
  <c r="O466" i="1" a="1"/>
  <c r="O466" i="1" s="1"/>
  <c r="O278" i="1" a="1"/>
  <c r="O278" i="1" s="1"/>
  <c r="O447" i="1" a="1"/>
  <c r="O447" i="1" s="1"/>
  <c r="O511" i="1" a="1"/>
  <c r="O636" i="1" a="1"/>
  <c r="O636" i="1" s="1"/>
  <c r="O524" i="1" a="1"/>
  <c r="O524" i="1" s="1"/>
  <c r="O572" i="1" a="1"/>
  <c r="O572" i="1" s="1"/>
  <c r="O701" i="1" a="1"/>
  <c r="O701" i="1" s="1"/>
  <c r="O417" i="1" a="1"/>
  <c r="O417" i="1" s="1"/>
  <c r="O702" i="1" a="1"/>
  <c r="O702" i="1" s="1"/>
  <c r="O302" i="1" a="1"/>
  <c r="O302" i="1" s="1"/>
  <c r="O498" i="1" a="1"/>
  <c r="O498" i="1" s="1"/>
  <c r="O287" i="1" a="1"/>
  <c r="O287" i="1" s="1"/>
  <c r="O342" i="1" a="1"/>
  <c r="O525" i="1" a="1"/>
  <c r="O485" i="1" a="1"/>
  <c r="O485" i="1" s="1"/>
  <c r="O687" i="1" a="1"/>
  <c r="O687" i="1" s="1"/>
  <c r="O418" i="1" a="1"/>
  <c r="O418" i="1" s="1"/>
  <c r="O330" i="1" a="1"/>
  <c r="O330" i="1" s="1"/>
  <c r="O316" i="1" a="1"/>
  <c r="O331" i="1" a="1"/>
  <c r="O541" i="1" a="1"/>
  <c r="O541" i="1" s="1"/>
  <c r="O448" i="1" a="1"/>
  <c r="O448" i="1" s="1"/>
  <c r="O432" i="1" a="1"/>
  <c r="O432" i="1" s="1"/>
  <c r="O449" i="1" a="1"/>
  <c r="O449" i="1" s="1"/>
  <c r="O288" i="1" a="1"/>
  <c r="O288" i="1" s="1"/>
  <c r="O716" i="1" a="1"/>
  <c r="O716" i="1" s="1"/>
  <c r="O595" i="1" a="1"/>
  <c r="O595" i="1" s="1"/>
  <c r="O542" i="1" a="1"/>
  <c r="O542" i="1" s="1"/>
  <c r="O433" i="1" a="1"/>
  <c r="O433" i="1" s="1"/>
  <c r="O402" i="1" a="1"/>
  <c r="O673" i="1" a="1"/>
  <c r="O673" i="1" s="1"/>
  <c r="O467" i="1" a="1"/>
  <c r="O467" i="1" s="1"/>
  <c r="O343" i="1" a="1"/>
  <c r="O289" i="1" a="1"/>
  <c r="O659" i="1" a="1"/>
  <c r="O659" i="1" s="1"/>
  <c r="O626" i="1" a="1"/>
  <c r="O626" i="1" s="1"/>
  <c r="O596" i="1" a="1"/>
  <c r="O596" i="1" s="1"/>
  <c r="O434" i="1" a="1"/>
  <c r="O434" i="1" s="1"/>
  <c r="O717" i="1" a="1"/>
  <c r="O717" i="1" s="1"/>
  <c r="O403" i="1" a="1"/>
  <c r="O403" i="1" s="1"/>
  <c r="O290" i="1" a="1"/>
  <c r="O290" i="1" s="1"/>
  <c r="O404" i="1" a="1"/>
  <c r="O404" i="1" s="1"/>
  <c r="O627" i="1" a="1"/>
  <c r="O627" i="1" s="1"/>
  <c r="O660" i="1" a="1"/>
  <c r="O660" i="1" s="1"/>
  <c r="O597" i="1" a="1"/>
  <c r="O597" i="1" s="1"/>
  <c r="O303" i="1" a="1"/>
  <c r="O303" i="1" s="1"/>
  <c r="O419" i="1" a="1"/>
  <c r="O419" i="1" s="1"/>
  <c r="R419" i="1" s="1"/>
  <c r="O468" i="1" a="1"/>
  <c r="O468" i="1" s="1"/>
  <c r="O264" i="1" a="1"/>
  <c r="O718" i="1" a="1"/>
  <c r="O389" i="1" a="1"/>
  <c r="O389" i="1" s="1"/>
  <c r="O262" i="1" a="1"/>
  <c r="O262" i="1" s="1"/>
  <c r="O435" i="1" a="1"/>
  <c r="O279" i="1" a="1"/>
  <c r="O598" i="1" a="1"/>
  <c r="O598" i="1" s="1"/>
  <c r="O543" i="1" a="1"/>
  <c r="O543" i="1" s="1"/>
  <c r="O304" i="1" a="1"/>
  <c r="O304" i="1" s="1"/>
  <c r="O499" i="1" a="1"/>
  <c r="O499" i="1" s="1"/>
  <c r="O390" i="1" a="1"/>
  <c r="O390" i="1" s="1"/>
  <c r="O405" i="1" a="1"/>
  <c r="O405" i="1" s="1"/>
  <c r="O599" i="1" a="1"/>
  <c r="O599" i="1" s="1"/>
  <c r="O661" i="1" a="1"/>
  <c r="O661" i="1" s="1"/>
  <c r="O512" i="1" a="1"/>
  <c r="O512" i="1" s="1"/>
  <c r="O291" i="1" a="1"/>
  <c r="O291" i="1" s="1"/>
  <c r="O420" i="1" a="1"/>
  <c r="O420" i="1" s="1"/>
  <c r="O344" i="1" a="1"/>
  <c r="O344" i="1" s="1"/>
  <c r="O268" i="1" a="1"/>
  <c r="O268" i="1" s="1"/>
  <c r="O556" i="1" a="1"/>
  <c r="O486" i="1" a="1"/>
  <c r="O370" i="1" a="1"/>
  <c r="O436" i="1" a="1"/>
  <c r="O371" i="1" a="1"/>
  <c r="O469" i="1" a="1"/>
  <c r="O450" i="1" a="1"/>
  <c r="O573" i="1" a="1"/>
  <c r="O437" i="1" a="1"/>
  <c r="O437" i="1" s="1"/>
  <c r="O332" i="1" a="1"/>
  <c r="O332" i="1" s="1"/>
  <c r="O333" i="1" a="1"/>
  <c r="O333" i="1" s="1"/>
  <c r="O470" i="1" a="1"/>
  <c r="O470" i="1" s="1"/>
  <c r="O600" i="1" a="1"/>
  <c r="O600" i="1" s="1"/>
  <c r="O662" i="1" a="1"/>
  <c r="O662" i="1" s="1"/>
  <c r="O649" i="1" a="1"/>
  <c r="O649" i="1" s="1"/>
  <c r="O611" i="1" a="1"/>
  <c r="O611" i="1" s="1"/>
  <c r="O280" i="1" a="1"/>
  <c r="O280" i="1" s="1"/>
  <c r="O557" i="1" a="1"/>
  <c r="O557" i="1" s="1"/>
  <c r="O451" i="1" a="1"/>
  <c r="O451" i="1" s="1"/>
  <c r="O612" i="1" a="1"/>
  <c r="O612" i="1" s="1"/>
  <c r="O637" i="1" a="1"/>
  <c r="O637" i="1" s="1"/>
  <c r="O558" i="1" a="1"/>
  <c r="O305" i="1" a="1"/>
  <c r="O500" i="1" a="1"/>
  <c r="O500" i="1" s="1"/>
  <c r="O688" i="1" a="1"/>
  <c r="O688" i="1" s="1"/>
  <c r="O406" i="1" a="1"/>
  <c r="O391" i="1" a="1"/>
  <c r="O526" i="1" a="1"/>
  <c r="O526" i="1" s="1"/>
  <c r="O674" i="1" a="1"/>
  <c r="O674" i="1" s="1"/>
  <c r="O719" i="1" a="1"/>
  <c r="O719" i="1" s="1"/>
  <c r="O675" i="1" a="1"/>
  <c r="O675" i="1" s="1"/>
  <c r="O527" i="1" a="1"/>
  <c r="O527" i="1" s="1"/>
  <c r="O372" i="1" a="1"/>
  <c r="O372" i="1" s="1"/>
  <c r="O689" i="1" a="1"/>
  <c r="O689" i="1" s="1"/>
  <c r="O650" i="1" a="1"/>
  <c r="O650" i="1" s="1"/>
  <c r="O528" i="1" a="1"/>
  <c r="O528" i="1" s="1"/>
  <c r="R528" i="1" s="1"/>
  <c r="O513" i="1" a="1"/>
  <c r="O513" i="1" s="1"/>
  <c r="O471" i="1" a="1"/>
  <c r="O471" i="1" s="1"/>
  <c r="O421" i="1" a="1"/>
  <c r="O421" i="1" s="1"/>
  <c r="O703" i="1" a="1"/>
  <c r="O703" i="1" s="1"/>
  <c r="O651" i="1" a="1"/>
  <c r="O651" i="1" s="1"/>
  <c r="R651" i="1" s="1"/>
  <c r="O638" i="1" a="1"/>
  <c r="O628" i="1" a="1"/>
  <c r="O345" i="1" a="1"/>
  <c r="O345" i="1" s="1"/>
  <c r="O334" i="1" a="1"/>
  <c r="O334" i="1" s="1"/>
  <c r="O559" i="1" a="1"/>
  <c r="O357" i="1" a="1"/>
  <c r="O357" i="1" s="1"/>
  <c r="O629" i="1" a="1"/>
  <c r="O629" i="1" s="1"/>
  <c r="O358" i="1" a="1"/>
  <c r="O358" i="1" s="1"/>
  <c r="O317" i="1" a="1"/>
  <c r="O317" i="1" s="1"/>
  <c r="O704" i="1" a="1"/>
  <c r="O704" i="1" s="1"/>
  <c r="O501" i="1" a="1"/>
  <c r="O501" i="1" s="1"/>
  <c r="O720" i="1" a="1"/>
  <c r="O720" i="1" s="1"/>
  <c r="O452" i="1" a="1"/>
  <c r="O514" i="1" a="1"/>
  <c r="O574" i="1" a="1"/>
  <c r="O676" i="1" a="1"/>
  <c r="O676" i="1" s="1"/>
  <c r="O318" i="1" a="1"/>
  <c r="O487" i="1" a="1"/>
  <c r="O487" i="1" s="1"/>
  <c r="O721" i="1" a="1"/>
  <c r="O721" i="1" s="1"/>
  <c r="O472" i="1" a="1"/>
  <c r="O472" i="1" s="1"/>
  <c r="O544" i="1" a="1"/>
  <c r="O359" i="1" a="1"/>
  <c r="O407" i="1" a="1"/>
  <c r="O407" i="1" s="1"/>
  <c r="O360" i="1" a="1"/>
  <c r="O360" i="1" s="1"/>
  <c r="O722" i="1" a="1"/>
  <c r="O422" i="1" a="1"/>
  <c r="O422" i="1" s="1"/>
  <c r="R422" i="1" s="1"/>
  <c r="O584" i="1" a="1"/>
  <c r="O584" i="1" s="1"/>
  <c r="O335" i="1" a="1"/>
  <c r="O335" i="1" s="1"/>
  <c r="O639" i="1" a="1"/>
  <c r="O639" i="1" s="1"/>
  <c r="O453" i="1" a="1"/>
  <c r="O453" i="1" s="1"/>
  <c r="O705" i="1" a="1"/>
  <c r="O705" i="1" s="1"/>
  <c r="O613" i="1" a="1"/>
  <c r="O613" i="1" s="1"/>
  <c r="O614" i="1" a="1"/>
  <c r="O614" i="1" s="1"/>
  <c r="O690" i="1" a="1"/>
  <c r="O690" i="1" s="1"/>
  <c r="O292" i="1" a="1"/>
  <c r="O691" i="1" a="1"/>
  <c r="O560" i="1" a="1"/>
  <c r="O454" i="1" a="1"/>
  <c r="O455" i="1" a="1"/>
  <c r="O455" i="1" s="1"/>
  <c r="O677" i="1" a="1"/>
  <c r="O677" i="1" s="1"/>
  <c r="R677" i="1" s="1"/>
  <c r="O545" i="1" a="1"/>
  <c r="O281" i="1" a="1"/>
  <c r="O293" i="1" a="1"/>
  <c r="O293" i="1" s="1"/>
  <c r="O473" i="1" a="1"/>
  <c r="O473" i="1" s="1"/>
  <c r="O294" i="1" a="1"/>
  <c r="O723" i="1" a="1"/>
  <c r="O663" i="1" a="1"/>
  <c r="O663" i="1" s="1"/>
  <c r="O438" i="1" a="1"/>
  <c r="O585" i="1" a="1"/>
  <c r="O585" i="1" s="1"/>
  <c r="O456" i="1" a="1"/>
  <c r="O456" i="1" s="1"/>
  <c r="O392" i="1" a="1"/>
  <c r="O392" i="1" s="1"/>
  <c r="O515" i="1" a="1"/>
  <c r="O515" i="1" s="1"/>
  <c r="O306" i="1" a="1"/>
  <c r="O306" i="1" s="1"/>
  <c r="O502" i="1" a="1"/>
  <c r="O502" i="1" s="1"/>
  <c r="O346" i="1" a="1"/>
  <c r="O346" i="1" s="1"/>
  <c r="O640" i="1" a="1"/>
  <c r="O640" i="1" s="1"/>
  <c r="O347" i="1" a="1"/>
  <c r="O347" i="1" s="1"/>
  <c r="O257" i="1" a="1"/>
  <c r="O257" i="1" s="1"/>
  <c r="O258" i="1" a="1"/>
  <c r="O258" i="1" s="1"/>
  <c r="O615" i="1" a="1"/>
  <c r="O615" i="1" s="1"/>
  <c r="O503" i="1" a="1"/>
  <c r="O503" i="1" s="1"/>
  <c r="O616" i="1" a="1"/>
  <c r="O616" i="1" s="1"/>
  <c r="O652" i="1" a="1"/>
  <c r="O261" i="1" a="1"/>
  <c r="O256" i="1" a="1"/>
  <c r="O256" i="1" s="1"/>
  <c r="O265" i="1" a="1"/>
  <c r="O265" i="1" s="1"/>
  <c r="O586" i="1" a="1"/>
  <c r="O617" i="1" a="1"/>
  <c r="O617" i="1" s="1"/>
  <c r="O423" i="1" a="1"/>
  <c r="O423" i="1" s="1"/>
  <c r="O282" i="1" a="1"/>
  <c r="O282" i="1" s="1"/>
  <c r="O706" i="1" a="1"/>
  <c r="O706" i="1" s="1"/>
  <c r="O618" i="1" a="1"/>
  <c r="O618" i="1" s="1"/>
  <c r="O283" i="1" a="1"/>
  <c r="O283" i="1" s="1"/>
  <c r="O630" i="1" a="1"/>
  <c r="O630" i="1" s="1"/>
  <c r="O529" i="1" a="1"/>
  <c r="O529" i="1" s="1"/>
  <c r="O336" i="1" a="1"/>
  <c r="O336" i="1" s="1"/>
  <c r="O267" i="1" a="1"/>
  <c r="O267" i="1" s="1"/>
  <c r="O254" i="1" a="1"/>
  <c r="O254" i="1" s="1"/>
  <c r="O474" i="1" a="1"/>
  <c r="O474" i="1" s="1"/>
  <c r="O259" i="1" a="1"/>
  <c r="O259" i="1" s="1"/>
  <c r="O561" i="1" a="1"/>
  <c r="O561" i="1" s="1"/>
  <c r="O530" i="1" a="1"/>
  <c r="O531" i="1" a="1"/>
  <c r="O531" i="1" s="1"/>
  <c r="O504" i="1" a="1"/>
  <c r="O504" i="1" s="1"/>
  <c r="O337" i="1" a="1"/>
  <c r="O337" i="1" s="1"/>
  <c r="O692" i="1" a="1"/>
  <c r="O562" i="1" a="1"/>
  <c r="O475" i="1" a="1"/>
  <c r="O476" i="1" a="1"/>
  <c r="O641" i="1" a="1"/>
  <c r="O678" i="1" a="1"/>
  <c r="O424" i="1" a="1"/>
  <c r="O424" i="1" s="1"/>
  <c r="O319" i="1" a="1"/>
  <c r="O319" i="1" s="1"/>
  <c r="O373" i="1" a="1"/>
  <c r="O373" i="1" s="1"/>
  <c r="O408" i="1" a="1"/>
  <c r="O408" i="1" s="1"/>
  <c r="O269" i="1" a="1"/>
  <c r="O269" i="1" s="1"/>
  <c r="O457" i="1" a="1"/>
  <c r="O457" i="1" s="1"/>
  <c r="O724" i="1" a="1"/>
  <c r="O724" i="1" s="1"/>
  <c r="O642" i="1" a="1"/>
  <c r="O642" i="1" s="1"/>
  <c r="O587" i="1" a="1"/>
  <c r="O587" i="1" s="1"/>
  <c r="O532" i="1" a="1"/>
  <c r="O488" i="1" a="1"/>
  <c r="O361" i="1" a="1"/>
  <c r="O361" i="1" s="1"/>
  <c r="O707" i="1" a="1"/>
  <c r="O707" i="1" s="1"/>
  <c r="O263" i="1" a="1"/>
  <c r="O374" i="1" a="1"/>
  <c r="O693" i="1" a="1"/>
  <c r="O693" i="1" s="1"/>
  <c r="O439" i="1" a="1"/>
  <c r="O439" i="1" s="1"/>
  <c r="O694" i="1" a="1"/>
  <c r="O694" i="1" s="1"/>
  <c r="O664" i="1" a="1"/>
  <c r="O664" i="1" s="1"/>
  <c r="O653" i="1" a="1"/>
  <c r="O362" i="1" a="1"/>
  <c r="O708" i="1" a="1"/>
  <c r="O295" i="1" a="1"/>
  <c r="O284" i="1" a="1"/>
  <c r="O284" i="1" s="1"/>
  <c r="O505" i="1" a="1"/>
  <c r="O505" i="1" s="1"/>
  <c r="O320" i="1" a="1"/>
  <c r="O320" i="1" s="1"/>
  <c r="O506" i="1" a="1"/>
  <c r="O506" i="1" s="1"/>
  <c r="R506" i="1" s="1"/>
  <c r="O440" i="1" a="1"/>
  <c r="O440" i="1" s="1"/>
  <c r="O489" i="1" a="1"/>
  <c r="O489" i="1" s="1"/>
  <c r="O307" i="1" a="1"/>
  <c r="O307" i="1" s="1"/>
  <c r="O601" i="1" a="1"/>
  <c r="O516" i="1" a="1"/>
  <c r="O516" i="1" s="1"/>
  <c r="O588" i="1" a="1"/>
  <c r="O588" i="1" s="1"/>
  <c r="O589" i="1" a="1"/>
  <c r="O375" i="1" a="1"/>
  <c r="O575" i="1" a="1"/>
  <c r="O575" i="1" s="1"/>
  <c r="O348" i="1" a="1"/>
  <c r="O348" i="1" s="1"/>
  <c r="O576" i="1" a="1"/>
  <c r="O576" i="1" s="1"/>
  <c r="O409" i="1" a="1"/>
  <c r="O409" i="1" s="1"/>
  <c r="O393" i="1" a="1"/>
  <c r="O393" i="1" s="1"/>
  <c r="O458" i="1" a="1"/>
  <c r="O458" i="1" s="1"/>
  <c r="O546" i="1" a="1"/>
  <c r="O546" i="1" s="1"/>
  <c r="O308" i="1" a="1"/>
  <c r="O308" i="1" s="1"/>
  <c r="O631" i="1" a="1"/>
  <c r="O631" i="1" s="1"/>
  <c r="O517" i="1" a="1"/>
  <c r="O517" i="1" s="1"/>
  <c r="O602" i="1" a="1"/>
  <c r="O602" i="1" s="1"/>
  <c r="R602" i="1" s="1"/>
  <c r="O643" i="1" a="1"/>
  <c r="O665" i="1" a="1"/>
  <c r="O665" i="1" s="1"/>
  <c r="O349" i="1" a="1"/>
  <c r="O349" i="1" s="1"/>
  <c r="O547" i="1" a="1"/>
  <c r="O619" i="1" a="1"/>
  <c r="O296" i="1" a="1"/>
  <c r="O296" i="1" s="1"/>
  <c r="O338" i="1" a="1"/>
  <c r="O338" i="1" s="1"/>
  <c r="O603" i="1" a="1"/>
  <c r="O620" i="1" a="1"/>
  <c r="O321" i="1" a="1"/>
  <c r="O321" i="1" s="1"/>
  <c r="O695" i="1" a="1"/>
  <c r="O695" i="1" s="1"/>
  <c r="O548" i="1" a="1"/>
  <c r="O548" i="1" s="1"/>
  <c r="O654" i="1" a="1"/>
  <c r="O654" i="1" s="1"/>
  <c r="O376" i="1" a="1"/>
  <c r="O376" i="1" s="1"/>
  <c r="O725" i="1" a="1"/>
  <c r="O725" i="1" s="1"/>
  <c r="O666" i="1" a="1"/>
  <c r="O666" i="1" s="1"/>
  <c r="O394" i="1" a="1"/>
  <c r="O394" i="1" s="1"/>
  <c r="O477" i="1" a="1"/>
  <c r="O477" i="1" s="1"/>
  <c r="O563" i="1" a="1"/>
  <c r="O563" i="1" s="1"/>
  <c r="O679" i="1" a="1"/>
  <c r="O679" i="1" s="1"/>
  <c r="O696" i="1" a="1"/>
  <c r="O696" i="1" s="1"/>
  <c r="O667" i="1" a="1"/>
  <c r="O518" i="1" a="1"/>
  <c r="O564" i="1" a="1"/>
  <c r="O425" i="1" a="1"/>
  <c r="O490" i="1" a="1"/>
  <c r="O577" i="1" a="1"/>
  <c r="O426" i="1" a="1"/>
  <c r="O491" i="1" a="1"/>
  <c r="O410" i="1" a="1"/>
  <c r="O410" i="1" s="1"/>
  <c r="O680" i="1" a="1"/>
  <c r="O680" i="1" s="1"/>
  <c r="O411" i="1" a="1"/>
  <c r="O411" i="1" s="1"/>
  <c r="O726" i="1" a="1"/>
  <c r="O726" i="1" s="1"/>
  <c r="O322" i="1" a="1"/>
  <c r="O322" i="1" s="1"/>
  <c r="O441" i="1" a="1"/>
  <c r="O441" i="1" s="1"/>
  <c r="O427" i="1" a="1"/>
  <c r="O427" i="1" s="1"/>
  <c r="O323" i="1" a="1"/>
  <c r="O323" i="1" s="1"/>
  <c r="O668" i="1" a="1"/>
  <c r="O668" i="1" s="1"/>
  <c r="O395" i="1" a="1"/>
  <c r="O395" i="1" s="1"/>
  <c r="O363" i="1" a="1"/>
  <c r="O363" i="1" s="1"/>
  <c r="O492" i="1" a="1"/>
  <c r="O492" i="1" s="1"/>
  <c r="O396" i="1" a="1"/>
  <c r="O396" i="1" s="1"/>
  <c r="O493" i="1" a="1"/>
  <c r="O493" i="1" s="1"/>
  <c r="O590" i="1" a="1"/>
  <c r="O442" i="1" a="1"/>
  <c r="O681" i="1" a="1"/>
  <c r="O681" i="1" s="1"/>
  <c r="O324" i="1" a="1"/>
  <c r="O324" i="1" s="1"/>
  <c r="O632" i="1" a="1"/>
  <c r="O325" i="1" a="1"/>
  <c r="O285" i="1" a="1"/>
  <c r="O285" i="1" s="1"/>
  <c r="O519" i="1" a="1"/>
  <c r="O519" i="1" s="1"/>
  <c r="O533" i="1" a="1"/>
  <c r="O533" i="1" s="1"/>
  <c r="O377" i="1" a="1"/>
  <c r="O377" i="1" s="1"/>
  <c r="O412" i="1" a="1"/>
  <c r="O412" i="1" s="1"/>
  <c r="O339" i="1" a="1"/>
  <c r="O339" i="1" s="1"/>
  <c r="O549" i="1" a="1"/>
  <c r="O549" i="1" s="1"/>
  <c r="O604" i="1" a="1"/>
  <c r="O604" i="1" s="1"/>
  <c r="O565" i="1" a="1"/>
  <c r="O565" i="1" s="1"/>
  <c r="O550" i="1" a="1"/>
  <c r="O550" i="1" s="1"/>
  <c r="O655" i="1" a="1"/>
  <c r="O655" i="1" s="1"/>
  <c r="O378" i="1" a="1"/>
  <c r="O378" i="1" s="1"/>
  <c r="O621" i="1" a="1"/>
  <c r="O621" i="1" s="1"/>
  <c r="O709" i="1" a="1"/>
  <c r="O709" i="1" s="1"/>
  <c r="O379" i="1" a="1"/>
  <c r="O534" i="1" a="1"/>
  <c r="O364" i="1" a="1"/>
  <c r="O364" i="1" s="1"/>
  <c r="O309" i="1" a="1"/>
  <c r="O309" i="1" s="1"/>
  <c r="O682" i="1" a="1"/>
  <c r="O478" i="1" a="1"/>
  <c r="O297" i="1" a="1"/>
  <c r="O297" i="1" s="1"/>
  <c r="O459" i="1" a="1"/>
  <c r="O459" i="1" s="1"/>
  <c r="O310" i="1" a="1"/>
  <c r="O310" i="1" s="1"/>
  <c r="O479" i="1" a="1"/>
  <c r="O479" i="1" s="1"/>
  <c r="O350" i="1" a="1"/>
  <c r="O350" i="1" s="1"/>
  <c r="O644" i="1" a="1"/>
  <c r="O351" i="1" a="1"/>
  <c r="O710" i="1" a="1"/>
  <c r="O710" i="1" s="1"/>
  <c r="O656" i="1" a="1"/>
  <c r="O656" i="1" s="1"/>
  <c r="O480" i="1" a="1"/>
  <c r="O480" i="1" s="1"/>
  <c r="O605" i="1" a="1"/>
  <c r="O605" i="1" s="1"/>
  <c r="O711" i="1" a="1"/>
  <c r="O711" i="1" s="1"/>
  <c r="O622" i="1" a="1"/>
  <c r="O622" i="1" s="1"/>
  <c r="O397" i="1" a="1"/>
  <c r="O397" i="1" s="1"/>
  <c r="O352" i="1" a="1"/>
  <c r="O380" i="1" a="1"/>
  <c r="O460" i="1" a="1"/>
  <c r="O460" i="1" s="1"/>
  <c r="O365" i="1" a="1"/>
  <c r="O365" i="1" s="1"/>
  <c r="O2" i="1" a="1"/>
  <c r="E2" i="1"/>
  <c r="E3" i="1"/>
  <c r="E4" i="1"/>
  <c r="E5" i="1"/>
  <c r="E6" i="1"/>
  <c r="E8" i="1"/>
  <c r="E10" i="1"/>
  <c r="E13" i="1"/>
  <c r="H13" i="1" s="1"/>
  <c r="E7" i="1"/>
  <c r="H7" i="1" s="1"/>
  <c r="E16" i="1"/>
  <c r="E19" i="1"/>
  <c r="E9" i="1"/>
  <c r="H9" i="1" s="1"/>
  <c r="E12" i="1"/>
  <c r="H12" i="1" s="1"/>
  <c r="E14" i="1"/>
  <c r="E21" i="1"/>
  <c r="H21" i="1" s="1"/>
  <c r="I21" i="1" s="1"/>
  <c r="E25" i="1"/>
  <c r="E17" i="1"/>
  <c r="E28" i="1"/>
  <c r="E31" i="1"/>
  <c r="H31" i="1" s="1"/>
  <c r="I31" i="1" s="1"/>
  <c r="E20" i="1"/>
  <c r="E22" i="1"/>
  <c r="E33" i="1"/>
  <c r="E38" i="1"/>
  <c r="E40" i="1"/>
  <c r="E26" i="1"/>
  <c r="E44" i="1"/>
  <c r="E47" i="1"/>
  <c r="E24" i="1"/>
  <c r="H24" i="1" s="1"/>
  <c r="I24" i="1" s="1"/>
  <c r="E51" i="1"/>
  <c r="H51" i="1" s="1"/>
  <c r="E27" i="1"/>
  <c r="H27" i="1" s="1"/>
  <c r="E57" i="1"/>
  <c r="E11" i="1"/>
  <c r="E62" i="1"/>
  <c r="E35" i="1"/>
  <c r="H35" i="1" s="1"/>
  <c r="I35" i="1" s="1"/>
  <c r="E18" i="1"/>
  <c r="E23" i="1"/>
  <c r="E29" i="1"/>
  <c r="E32" i="1"/>
  <c r="H32" i="1" s="1"/>
  <c r="E67" i="1"/>
  <c r="E72" i="1"/>
  <c r="H72" i="1" s="1"/>
  <c r="E79" i="1"/>
  <c r="H79" i="1" s="1"/>
  <c r="E86" i="1"/>
  <c r="H86" i="1" s="1"/>
  <c r="I86" i="1" s="1"/>
  <c r="E34" i="1"/>
  <c r="E93" i="1"/>
  <c r="E36" i="1"/>
  <c r="E30" i="1"/>
  <c r="E39" i="1"/>
  <c r="E41" i="1"/>
  <c r="H41" i="1" s="1"/>
  <c r="I41" i="1" s="1"/>
  <c r="E43" i="1"/>
  <c r="H43" i="1" s="1"/>
  <c r="I43" i="1" s="1"/>
  <c r="E37" i="1"/>
  <c r="E45" i="1"/>
  <c r="E46" i="1"/>
  <c r="E48" i="1"/>
  <c r="E50" i="1"/>
  <c r="E52" i="1"/>
  <c r="H52" i="1" s="1"/>
  <c r="I52" i="1" s="1"/>
  <c r="E101" i="1"/>
  <c r="H101" i="1" s="1"/>
  <c r="I101" i="1" s="1"/>
  <c r="E53" i="1"/>
  <c r="E110" i="1"/>
  <c r="E42" i="1"/>
  <c r="E56" i="1"/>
  <c r="H56" i="1" s="1"/>
  <c r="E58" i="1"/>
  <c r="E49" i="1"/>
  <c r="E60" i="1"/>
  <c r="H60" i="1" s="1"/>
  <c r="E63" i="1"/>
  <c r="H63" i="1" s="1"/>
  <c r="E66" i="1"/>
  <c r="H66" i="1" s="1"/>
  <c r="E69" i="1"/>
  <c r="H69" i="1" s="1"/>
  <c r="E70" i="1"/>
  <c r="H70" i="1" s="1"/>
  <c r="I70" i="1" s="1"/>
  <c r="E54" i="1"/>
  <c r="H54" i="1" s="1"/>
  <c r="E121" i="1"/>
  <c r="H121" i="1" s="1"/>
  <c r="E73" i="1"/>
  <c r="E76" i="1"/>
  <c r="E78" i="1"/>
  <c r="E136" i="1"/>
  <c r="H136" i="1" s="1"/>
  <c r="E64" i="1"/>
  <c r="H64" i="1" s="1"/>
  <c r="E81" i="1"/>
  <c r="E61" i="1"/>
  <c r="E68" i="1"/>
  <c r="H68" i="1" s="1"/>
  <c r="E75" i="1"/>
  <c r="E83" i="1"/>
  <c r="E155" i="1"/>
  <c r="H155" i="1" s="1"/>
  <c r="E168" i="1"/>
  <c r="E80" i="1"/>
  <c r="E87" i="1"/>
  <c r="E85" i="1"/>
  <c r="E74" i="1"/>
  <c r="H74" i="1" s="1"/>
  <c r="E169" i="1"/>
  <c r="E88" i="1"/>
  <c r="E170" i="1"/>
  <c r="E171" i="1"/>
  <c r="E90" i="1"/>
  <c r="E91" i="1"/>
  <c r="E99" i="1"/>
  <c r="E105" i="1"/>
  <c r="H105" i="1" s="1"/>
  <c r="I105" i="1" s="1"/>
  <c r="E92" i="1"/>
  <c r="E96" i="1"/>
  <c r="E111" i="1"/>
  <c r="H111" i="1" s="1"/>
  <c r="I111" i="1" s="1"/>
  <c r="E97" i="1"/>
  <c r="H97" i="1" s="1"/>
  <c r="E118" i="1"/>
  <c r="H118" i="1" s="1"/>
  <c r="E100" i="1"/>
  <c r="H100" i="1" s="1"/>
  <c r="E102" i="1"/>
  <c r="E106" i="1"/>
  <c r="E108" i="1"/>
  <c r="E109" i="1"/>
  <c r="E84" i="1"/>
  <c r="H84" i="1" s="1"/>
  <c r="I84" i="1" s="1"/>
  <c r="E94" i="1"/>
  <c r="H94" i="1" s="1"/>
  <c r="I94" i="1" s="1"/>
  <c r="E125" i="1"/>
  <c r="E113" i="1"/>
  <c r="H113" i="1" s="1"/>
  <c r="E131" i="1"/>
  <c r="E172" i="1"/>
  <c r="E115" i="1"/>
  <c r="E138" i="1"/>
  <c r="E145" i="1"/>
  <c r="H145" i="1" s="1"/>
  <c r="E117" i="1"/>
  <c r="E150" i="1"/>
  <c r="H150" i="1" s="1"/>
  <c r="I150" i="1" s="1"/>
  <c r="E119" i="1"/>
  <c r="H119" i="1" s="1"/>
  <c r="E124" i="1"/>
  <c r="H124" i="1" s="1"/>
  <c r="E126" i="1"/>
  <c r="E173" i="1"/>
  <c r="H173" i="1" s="1"/>
  <c r="E159" i="1"/>
  <c r="E128" i="1"/>
  <c r="H128" i="1" s="1"/>
  <c r="E130" i="1"/>
  <c r="E135" i="1"/>
  <c r="H135" i="1" s="1"/>
  <c r="E137" i="1"/>
  <c r="E174" i="1"/>
  <c r="H174" i="1" s="1"/>
  <c r="E103" i="1"/>
  <c r="E112" i="1"/>
  <c r="E175" i="1"/>
  <c r="E139" i="1"/>
  <c r="E165" i="1"/>
  <c r="H165" i="1" s="1"/>
  <c r="E95" i="1"/>
  <c r="E141" i="1"/>
  <c r="E144" i="1"/>
  <c r="E123" i="1"/>
  <c r="E104" i="1"/>
  <c r="H104" i="1" s="1"/>
  <c r="E147" i="1"/>
  <c r="E149" i="1"/>
  <c r="E180" i="1"/>
  <c r="E153" i="1"/>
  <c r="E156" i="1"/>
  <c r="E114" i="1"/>
  <c r="E182" i="1"/>
  <c r="E133" i="1"/>
  <c r="E122" i="1"/>
  <c r="E176" i="1"/>
  <c r="E157" i="1"/>
  <c r="H157" i="1" s="1"/>
  <c r="E132" i="1"/>
  <c r="H132" i="1" s="1"/>
  <c r="E183" i="1"/>
  <c r="E142" i="1"/>
  <c r="H142" i="1" s="1"/>
  <c r="E151" i="1"/>
  <c r="E177" i="1"/>
  <c r="E161" i="1"/>
  <c r="E160" i="1"/>
  <c r="E184" i="1"/>
  <c r="E162" i="1"/>
  <c r="H162" i="1" s="1"/>
  <c r="I162" i="1" s="1"/>
  <c r="E188" i="1"/>
  <c r="E187" i="1"/>
  <c r="E189" i="1"/>
  <c r="H189" i="1" s="1"/>
  <c r="I189" i="1" s="1"/>
  <c r="E190" i="1"/>
  <c r="E192" i="1"/>
  <c r="E193" i="1"/>
  <c r="E166" i="1"/>
  <c r="H166" i="1" s="1"/>
  <c r="E178" i="1"/>
  <c r="H178" i="1" s="1"/>
  <c r="E196" i="1"/>
  <c r="E197" i="1"/>
  <c r="E167" i="1"/>
  <c r="H167" i="1" s="1"/>
  <c r="E198" i="1"/>
  <c r="E200" i="1"/>
  <c r="H200" i="1" s="1"/>
  <c r="E201" i="1"/>
  <c r="E202" i="1"/>
  <c r="E179" i="1"/>
  <c r="E204" i="1"/>
  <c r="E205" i="1"/>
  <c r="E185" i="1"/>
  <c r="E206" i="1"/>
  <c r="E207" i="1"/>
  <c r="H207" i="1" s="1"/>
  <c r="I207" i="1" s="1"/>
  <c r="E209" i="1"/>
  <c r="H209" i="1" s="1"/>
  <c r="I209" i="1" s="1"/>
  <c r="E208" i="1"/>
  <c r="H208" i="1" s="1"/>
  <c r="E210" i="1"/>
  <c r="H210" i="1" s="1"/>
  <c r="I210" i="1" s="1"/>
  <c r="E211" i="1"/>
  <c r="H211" i="1" s="1"/>
  <c r="E191" i="1"/>
  <c r="E212" i="1"/>
  <c r="H212" i="1" s="1"/>
  <c r="E194" i="1"/>
  <c r="H194" i="1" s="1"/>
  <c r="E143" i="1"/>
  <c r="E215" i="1"/>
  <c r="E199" i="1"/>
  <c r="E218" i="1"/>
  <c r="E148" i="1"/>
  <c r="E120" i="1"/>
  <c r="H120" i="1" s="1"/>
  <c r="E129" i="1"/>
  <c r="E127" i="1"/>
  <c r="E203" i="1"/>
  <c r="H203" i="1" s="1"/>
  <c r="E134" i="1"/>
  <c r="E140" i="1"/>
  <c r="E154" i="1"/>
  <c r="E222" i="1"/>
  <c r="E146" i="1"/>
  <c r="E152" i="1"/>
  <c r="E158" i="1"/>
  <c r="E164" i="1"/>
  <c r="E163" i="1"/>
  <c r="E213" i="1"/>
  <c r="H213" i="1" s="1"/>
  <c r="E228" i="1"/>
  <c r="E229" i="1"/>
  <c r="E181" i="1"/>
  <c r="E230" i="1"/>
  <c r="E231" i="1"/>
  <c r="E232" i="1"/>
  <c r="E217" i="1"/>
  <c r="E233" i="1"/>
  <c r="H233" i="1" s="1"/>
  <c r="E219" i="1"/>
  <c r="H219" i="1" s="1"/>
  <c r="E235" i="1"/>
  <c r="H235" i="1" s="1"/>
  <c r="I235" i="1" s="1"/>
  <c r="E237" i="1"/>
  <c r="H237" i="1" s="1"/>
  <c r="I237" i="1" s="1"/>
  <c r="E239" i="1"/>
  <c r="E116" i="1"/>
  <c r="E107" i="1"/>
  <c r="E220" i="1"/>
  <c r="H220" i="1" s="1"/>
  <c r="I220" i="1" s="1"/>
  <c r="E98" i="1"/>
  <c r="E244" i="1"/>
  <c r="E245" i="1"/>
  <c r="H245" i="1" s="1"/>
  <c r="E246" i="1"/>
  <c r="E247" i="1"/>
  <c r="E89" i="1"/>
  <c r="H89" i="1" s="1"/>
  <c r="E248" i="1"/>
  <c r="H248" i="1" s="1"/>
  <c r="E249" i="1"/>
  <c r="E250" i="1"/>
  <c r="E251" i="1"/>
  <c r="E645" i="1"/>
  <c r="E398" i="1"/>
  <c r="E270" i="1"/>
  <c r="E443" i="1"/>
  <c r="E683" i="1"/>
  <c r="E326" i="1"/>
  <c r="E697" i="1"/>
  <c r="E381" i="1"/>
  <c r="E428" i="1"/>
  <c r="E578" i="1"/>
  <c r="H578" i="1" s="1"/>
  <c r="E520" i="1"/>
  <c r="H520" i="1" s="1"/>
  <c r="E712" i="1"/>
  <c r="H712" i="1" s="1"/>
  <c r="E713" i="1"/>
  <c r="E271" i="1"/>
  <c r="E684" i="1"/>
  <c r="E698" i="1"/>
  <c r="E382" i="1"/>
  <c r="E535" i="1"/>
  <c r="E286" i="1"/>
  <c r="E461" i="1"/>
  <c r="E669" i="1"/>
  <c r="E551" i="1"/>
  <c r="E521" i="1"/>
  <c r="E579" i="1"/>
  <c r="E272" i="1"/>
  <c r="E444" i="1"/>
  <c r="E606" i="1"/>
  <c r="E633" i="1"/>
  <c r="E298" i="1"/>
  <c r="E327" i="1"/>
  <c r="E646" i="1"/>
  <c r="E399" i="1"/>
  <c r="H399" i="1" s="1"/>
  <c r="I399" i="1" s="1"/>
  <c r="E429" i="1"/>
  <c r="H429" i="1" s="1"/>
  <c r="E413" i="1"/>
  <c r="E414" i="1"/>
  <c r="E273" i="1"/>
  <c r="E494" i="1"/>
  <c r="E353" i="1"/>
  <c r="E591" i="1"/>
  <c r="H591" i="1" s="1"/>
  <c r="E566" i="1"/>
  <c r="H566" i="1" s="1"/>
  <c r="E623" i="1"/>
  <c r="H623" i="1" s="1"/>
  <c r="E522" i="1"/>
  <c r="H522" i="1" s="1"/>
  <c r="E481" i="1"/>
  <c r="E507" i="1"/>
  <c r="E657" i="1"/>
  <c r="E340" i="1"/>
  <c r="E383" i="1"/>
  <c r="E311" i="1"/>
  <c r="E536" i="1"/>
  <c r="E274" i="1"/>
  <c r="E366" i="1"/>
  <c r="E699" i="1"/>
  <c r="H699" i="1" s="1"/>
  <c r="E275" i="1"/>
  <c r="H275" i="1" s="1"/>
  <c r="I275" i="1" s="1"/>
  <c r="E508" i="1"/>
  <c r="H508" i="1" s="1"/>
  <c r="I508" i="1" s="1"/>
  <c r="E567" i="1"/>
  <c r="E634" i="1"/>
  <c r="E592" i="1"/>
  <c r="E552" i="1"/>
  <c r="E312" i="1"/>
  <c r="E445" i="1"/>
  <c r="H445" i="1" s="1"/>
  <c r="E328" i="1"/>
  <c r="E647" i="1"/>
  <c r="E462" i="1"/>
  <c r="E495" i="1"/>
  <c r="E415" i="1"/>
  <c r="E607" i="1"/>
  <c r="E384" i="1"/>
  <c r="E299" i="1"/>
  <c r="E82" i="1"/>
  <c r="H82" i="1" s="1"/>
  <c r="I82" i="1" s="1"/>
  <c r="E77" i="1"/>
  <c r="E71" i="1"/>
  <c r="E65" i="1"/>
  <c r="E59" i="1"/>
  <c r="E55" i="1"/>
  <c r="E236" i="1"/>
  <c r="E241" i="1"/>
  <c r="E243" i="1"/>
  <c r="H243" i="1" s="1"/>
  <c r="E252" i="1"/>
  <c r="H252" i="1" s="1"/>
  <c r="S252" i="1" s="1"/>
  <c r="E496" i="1"/>
  <c r="E568" i="1"/>
  <c r="E354" i="1"/>
  <c r="H354" i="1" s="1"/>
  <c r="E367" i="1"/>
  <c r="E593" i="1"/>
  <c r="E276" i="1"/>
  <c r="H276" i="1" s="1"/>
  <c r="I276" i="1" s="1"/>
  <c r="E313" i="1"/>
  <c r="H313" i="1" s="1"/>
  <c r="E266" i="1"/>
  <c r="E260" i="1"/>
  <c r="E255" i="1"/>
  <c r="E569" i="1"/>
  <c r="H569" i="1" s="1"/>
  <c r="E385" i="1"/>
  <c r="E509" i="1"/>
  <c r="E537" i="1"/>
  <c r="E463" i="1"/>
  <c r="E277" i="1"/>
  <c r="E523" i="1"/>
  <c r="E685" i="1"/>
  <c r="E482" i="1"/>
  <c r="E624" i="1"/>
  <c r="E538" i="1"/>
  <c r="E608" i="1"/>
  <c r="H608" i="1" s="1"/>
  <c r="E686" i="1"/>
  <c r="E300" i="1"/>
  <c r="H300" i="1" s="1"/>
  <c r="E464" i="1"/>
  <c r="H464" i="1" s="1"/>
  <c r="E355" i="1"/>
  <c r="E670" i="1"/>
  <c r="E329" i="1"/>
  <c r="E714" i="1"/>
  <c r="E356" i="1"/>
  <c r="E580" i="1"/>
  <c r="H580" i="1" s="1"/>
  <c r="E386" i="1"/>
  <c r="E700" i="1"/>
  <c r="E570" i="1"/>
  <c r="E658" i="1"/>
  <c r="E416" i="1"/>
  <c r="E581" i="1"/>
  <c r="E465" i="1"/>
  <c r="H465" i="1" s="1"/>
  <c r="E648" i="1"/>
  <c r="H648" i="1" s="1"/>
  <c r="E387" i="1"/>
  <c r="H387" i="1" s="1"/>
  <c r="E671" i="1"/>
  <c r="H671" i="1" s="1"/>
  <c r="E571" i="1"/>
  <c r="E430" i="1"/>
  <c r="E635" i="1"/>
  <c r="E625" i="1"/>
  <c r="E672" i="1"/>
  <c r="H672" i="1" s="1"/>
  <c r="E341" i="1"/>
  <c r="E400" i="1"/>
  <c r="E497" i="1"/>
  <c r="E368" i="1"/>
  <c r="H368" i="1" s="1"/>
  <c r="E483" i="1"/>
  <c r="E431" i="1"/>
  <c r="E446" i="1"/>
  <c r="H446" i="1" s="1"/>
  <c r="E609" i="1"/>
  <c r="H609" i="1" s="1"/>
  <c r="E610" i="1"/>
  <c r="H610" i="1" s="1"/>
  <c r="E539" i="1"/>
  <c r="H539" i="1" s="1"/>
  <c r="E401" i="1"/>
  <c r="E388" i="1"/>
  <c r="E582" i="1"/>
  <c r="E369" i="1"/>
  <c r="E314" i="1"/>
  <c r="E553" i="1"/>
  <c r="E484" i="1"/>
  <c r="H484" i="1" s="1"/>
  <c r="E540" i="1"/>
  <c r="E301" i="1"/>
  <c r="E715" i="1"/>
  <c r="E315" i="1"/>
  <c r="E554" i="1"/>
  <c r="H554" i="1" s="1"/>
  <c r="I554" i="1" s="1"/>
  <c r="E594" i="1"/>
  <c r="E583" i="1"/>
  <c r="H583" i="1" s="1"/>
  <c r="I583" i="1" s="1"/>
  <c r="E510" i="1"/>
  <c r="E555" i="1"/>
  <c r="H555" i="1" s="1"/>
  <c r="E466" i="1"/>
  <c r="E278" i="1"/>
  <c r="E447" i="1"/>
  <c r="E511" i="1"/>
  <c r="E636" i="1"/>
  <c r="E524" i="1"/>
  <c r="E572" i="1"/>
  <c r="E701" i="1"/>
  <c r="E417" i="1"/>
  <c r="E702" i="1"/>
  <c r="E302" i="1"/>
  <c r="E498" i="1"/>
  <c r="E287" i="1"/>
  <c r="E342" i="1"/>
  <c r="E525" i="1"/>
  <c r="E485" i="1"/>
  <c r="E687" i="1"/>
  <c r="H687" i="1" s="1"/>
  <c r="I687" i="1" s="1"/>
  <c r="E418" i="1"/>
  <c r="H418" i="1" s="1"/>
  <c r="I418" i="1" s="1"/>
  <c r="E330" i="1"/>
  <c r="H330" i="1" s="1"/>
  <c r="E316" i="1"/>
  <c r="E331" i="1"/>
  <c r="E541" i="1"/>
  <c r="E448" i="1"/>
  <c r="E432" i="1"/>
  <c r="E449" i="1"/>
  <c r="E288" i="1"/>
  <c r="E716" i="1"/>
  <c r="E595" i="1"/>
  <c r="E542" i="1"/>
  <c r="E433" i="1"/>
  <c r="H433" i="1" s="1"/>
  <c r="E402" i="1"/>
  <c r="H402" i="1" s="1"/>
  <c r="E673" i="1"/>
  <c r="E467" i="1"/>
  <c r="E343" i="1"/>
  <c r="H343" i="1" s="1"/>
  <c r="I343" i="1" s="1"/>
  <c r="E289" i="1"/>
  <c r="E659" i="1"/>
  <c r="E626" i="1"/>
  <c r="E596" i="1"/>
  <c r="E434" i="1"/>
  <c r="E717" i="1"/>
  <c r="H717" i="1" s="1"/>
  <c r="E403" i="1"/>
  <c r="E290" i="1"/>
  <c r="H290" i="1" s="1"/>
  <c r="E404" i="1"/>
  <c r="E627" i="1"/>
  <c r="E660" i="1"/>
  <c r="E597" i="1"/>
  <c r="E303" i="1"/>
  <c r="H303" i="1" s="1"/>
  <c r="I303" i="1" s="1"/>
  <c r="E419" i="1"/>
  <c r="E186" i="1"/>
  <c r="H186" i="1" s="1"/>
  <c r="I186" i="1" s="1"/>
  <c r="E195" i="1"/>
  <c r="H195" i="1" s="1"/>
  <c r="E214" i="1"/>
  <c r="E216" i="1"/>
  <c r="E221" i="1"/>
  <c r="E224" i="1"/>
  <c r="E225" i="1"/>
  <c r="E226" i="1"/>
  <c r="E234" i="1"/>
  <c r="E240" i="1"/>
  <c r="H240" i="1" s="1"/>
  <c r="I240" i="1" s="1"/>
  <c r="E468" i="1"/>
  <c r="H468" i="1" s="1"/>
  <c r="E264" i="1"/>
  <c r="E718" i="1"/>
  <c r="E389" i="1"/>
  <c r="H389" i="1" s="1"/>
  <c r="I389" i="1" s="1"/>
  <c r="E262" i="1"/>
  <c r="E435" i="1"/>
  <c r="E279" i="1"/>
  <c r="H279" i="1" s="1"/>
  <c r="E598" i="1"/>
  <c r="E543" i="1"/>
  <c r="E304" i="1"/>
  <c r="H304" i="1" s="1"/>
  <c r="I304" i="1" s="1"/>
  <c r="E499" i="1"/>
  <c r="E390" i="1"/>
  <c r="E405" i="1"/>
  <c r="E599" i="1"/>
  <c r="E661" i="1"/>
  <c r="E512" i="1"/>
  <c r="E291" i="1"/>
  <c r="H291" i="1" s="1"/>
  <c r="E420" i="1"/>
  <c r="H420" i="1" s="1"/>
  <c r="I420" i="1" s="1"/>
  <c r="E344" i="1"/>
  <c r="H344" i="1" s="1"/>
  <c r="I344" i="1" s="1"/>
  <c r="E268" i="1"/>
  <c r="E556" i="1"/>
  <c r="E486" i="1"/>
  <c r="H486" i="1" s="1"/>
  <c r="E370" i="1"/>
  <c r="E436" i="1"/>
  <c r="H436" i="1" s="1"/>
  <c r="E371" i="1"/>
  <c r="E469" i="1"/>
  <c r="E450" i="1"/>
  <c r="E573" i="1"/>
  <c r="E437" i="1"/>
  <c r="H437" i="1" s="1"/>
  <c r="E332" i="1"/>
  <c r="E333" i="1"/>
  <c r="E470" i="1"/>
  <c r="E600" i="1"/>
  <c r="E662" i="1"/>
  <c r="E649" i="1"/>
  <c r="E611" i="1"/>
  <c r="E280" i="1"/>
  <c r="E557" i="1"/>
  <c r="E451" i="1"/>
  <c r="H451" i="1" s="1"/>
  <c r="I451" i="1" s="1"/>
  <c r="E612" i="1"/>
  <c r="E637" i="1"/>
  <c r="E558" i="1"/>
  <c r="H558" i="1" s="1"/>
  <c r="E305" i="1"/>
  <c r="E500" i="1"/>
  <c r="E688" i="1"/>
  <c r="H688" i="1" s="1"/>
  <c r="E406" i="1"/>
  <c r="E391" i="1"/>
  <c r="E526" i="1"/>
  <c r="H526" i="1" s="1"/>
  <c r="E674" i="1"/>
  <c r="H674" i="1" s="1"/>
  <c r="E719" i="1"/>
  <c r="E675" i="1"/>
  <c r="E527" i="1"/>
  <c r="E372" i="1"/>
  <c r="E689" i="1"/>
  <c r="H689" i="1" s="1"/>
  <c r="E650" i="1"/>
  <c r="H650" i="1" s="1"/>
  <c r="E528" i="1"/>
  <c r="E513" i="1"/>
  <c r="H513" i="1" s="1"/>
  <c r="E471" i="1"/>
  <c r="E421" i="1"/>
  <c r="E703" i="1"/>
  <c r="E651" i="1"/>
  <c r="H651" i="1" s="1"/>
  <c r="E638" i="1"/>
  <c r="E628" i="1"/>
  <c r="E345" i="1"/>
  <c r="E334" i="1"/>
  <c r="H334" i="1" s="1"/>
  <c r="E559" i="1"/>
  <c r="E357" i="1"/>
  <c r="E629" i="1"/>
  <c r="E358" i="1"/>
  <c r="E317" i="1"/>
  <c r="E704" i="1"/>
  <c r="E501" i="1"/>
  <c r="E720" i="1"/>
  <c r="E452" i="1"/>
  <c r="E514" i="1"/>
  <c r="H514" i="1" s="1"/>
  <c r="E574" i="1"/>
  <c r="E676" i="1"/>
  <c r="H676" i="1" s="1"/>
  <c r="E318" i="1"/>
  <c r="H318" i="1" s="1"/>
  <c r="I318" i="1" s="1"/>
  <c r="E487" i="1"/>
  <c r="E721" i="1"/>
  <c r="H721" i="1" s="1"/>
  <c r="I721" i="1" s="1"/>
  <c r="E472" i="1"/>
  <c r="H472" i="1" s="1"/>
  <c r="E544" i="1"/>
  <c r="H544" i="1" s="1"/>
  <c r="E359" i="1"/>
  <c r="H359" i="1" s="1"/>
  <c r="E407" i="1"/>
  <c r="E360" i="1"/>
  <c r="H360" i="1" s="1"/>
  <c r="E722" i="1"/>
  <c r="E422" i="1"/>
  <c r="E584" i="1"/>
  <c r="E335" i="1"/>
  <c r="E639" i="1"/>
  <c r="E453" i="1"/>
  <c r="E705" i="1"/>
  <c r="E613" i="1"/>
  <c r="H613" i="1" s="1"/>
  <c r="E614" i="1"/>
  <c r="E690" i="1"/>
  <c r="E292" i="1"/>
  <c r="E691" i="1"/>
  <c r="H691" i="1" s="1"/>
  <c r="E560" i="1"/>
  <c r="E454" i="1"/>
  <c r="E455" i="1"/>
  <c r="E677" i="1"/>
  <c r="E545" i="1"/>
  <c r="H545" i="1" s="1"/>
  <c r="E281" i="1"/>
  <c r="H281" i="1" s="1"/>
  <c r="I281" i="1" s="1"/>
  <c r="E293" i="1"/>
  <c r="E473" i="1"/>
  <c r="E294" i="1"/>
  <c r="E723" i="1"/>
  <c r="E663" i="1"/>
  <c r="H663" i="1" s="1"/>
  <c r="E438" i="1"/>
  <c r="H438" i="1" s="1"/>
  <c r="E585" i="1"/>
  <c r="H585" i="1" s="1"/>
  <c r="E456" i="1"/>
  <c r="H456" i="1" s="1"/>
  <c r="E392" i="1"/>
  <c r="H392" i="1" s="1"/>
  <c r="E515" i="1"/>
  <c r="H515" i="1" s="1"/>
  <c r="I515" i="1" s="1"/>
  <c r="E306" i="1"/>
  <c r="E502" i="1"/>
  <c r="H502" i="1" s="1"/>
  <c r="I502" i="1" s="1"/>
  <c r="E346" i="1"/>
  <c r="E640" i="1"/>
  <c r="E223" i="1"/>
  <c r="E227" i="1"/>
  <c r="E238" i="1"/>
  <c r="E242" i="1"/>
  <c r="E253" i="1"/>
  <c r="E347" i="1"/>
  <c r="H347" i="1" s="1"/>
  <c r="E257" i="1"/>
  <c r="E258" i="1"/>
  <c r="E615" i="1"/>
  <c r="E503" i="1"/>
  <c r="E616" i="1"/>
  <c r="E652" i="1"/>
  <c r="E261" i="1"/>
  <c r="E256" i="1"/>
  <c r="E265" i="1"/>
  <c r="E586" i="1"/>
  <c r="H586" i="1" s="1"/>
  <c r="E617" i="1"/>
  <c r="H617" i="1" s="1"/>
  <c r="I617" i="1" s="1"/>
  <c r="E423" i="1"/>
  <c r="H423" i="1" s="1"/>
  <c r="E282" i="1"/>
  <c r="E706" i="1"/>
  <c r="E618" i="1"/>
  <c r="E283" i="1"/>
  <c r="E630" i="1"/>
  <c r="E529" i="1"/>
  <c r="E336" i="1"/>
  <c r="E267" i="1"/>
  <c r="E254" i="1"/>
  <c r="H254" i="1" s="1"/>
  <c r="I254" i="1" s="1"/>
  <c r="E474" i="1"/>
  <c r="H474" i="1" s="1"/>
  <c r="I474" i="1" s="1"/>
  <c r="E259" i="1"/>
  <c r="H259" i="1" s="1"/>
  <c r="E561" i="1"/>
  <c r="H561" i="1" s="1"/>
  <c r="E530" i="1"/>
  <c r="H530" i="1" s="1"/>
  <c r="E531" i="1"/>
  <c r="H531" i="1" s="1"/>
  <c r="E504" i="1"/>
  <c r="E337" i="1"/>
  <c r="E692" i="1"/>
  <c r="E562" i="1"/>
  <c r="H562" i="1" s="1"/>
  <c r="E475" i="1"/>
  <c r="E476" i="1"/>
  <c r="E641" i="1"/>
  <c r="E678" i="1"/>
  <c r="E424" i="1"/>
  <c r="E319" i="1"/>
  <c r="E373" i="1"/>
  <c r="E408" i="1"/>
  <c r="H408" i="1" s="1"/>
  <c r="E269" i="1"/>
  <c r="H269" i="1" s="1"/>
  <c r="E457" i="1"/>
  <c r="E724" i="1"/>
  <c r="H724" i="1" s="1"/>
  <c r="I724" i="1" s="1"/>
  <c r="E642" i="1"/>
  <c r="E587" i="1"/>
  <c r="E532" i="1"/>
  <c r="E488" i="1"/>
  <c r="E361" i="1"/>
  <c r="H361" i="1" s="1"/>
  <c r="E707" i="1"/>
  <c r="E263" i="1"/>
  <c r="H263" i="1" s="1"/>
  <c r="I263" i="1" s="1"/>
  <c r="E374" i="1"/>
  <c r="E693" i="1"/>
  <c r="H693" i="1" s="1"/>
  <c r="E439" i="1"/>
  <c r="E694" i="1"/>
  <c r="E664" i="1"/>
  <c r="H664" i="1" s="1"/>
  <c r="E653" i="1"/>
  <c r="H653" i="1" s="1"/>
  <c r="E362" i="1"/>
  <c r="E708" i="1"/>
  <c r="E295" i="1"/>
  <c r="E284" i="1"/>
  <c r="E505" i="1"/>
  <c r="H505" i="1" s="1"/>
  <c r="I505" i="1" s="1"/>
  <c r="E320" i="1"/>
  <c r="E506" i="1"/>
  <c r="E440" i="1"/>
  <c r="E489" i="1"/>
  <c r="E307" i="1"/>
  <c r="E601" i="1"/>
  <c r="E516" i="1"/>
  <c r="H516" i="1" s="1"/>
  <c r="E588" i="1"/>
  <c r="H588" i="1" s="1"/>
  <c r="E589" i="1"/>
  <c r="H589" i="1" s="1"/>
  <c r="I589" i="1" s="1"/>
  <c r="E375" i="1"/>
  <c r="H375" i="1" s="1"/>
  <c r="I375" i="1" s="1"/>
  <c r="E575" i="1"/>
  <c r="H575" i="1" s="1"/>
  <c r="E348" i="1"/>
  <c r="E576" i="1"/>
  <c r="H576" i="1" s="1"/>
  <c r="E409" i="1"/>
  <c r="E393" i="1"/>
  <c r="E458" i="1"/>
  <c r="E546" i="1"/>
  <c r="E308" i="1"/>
  <c r="E631" i="1"/>
  <c r="H631" i="1" s="1"/>
  <c r="I631" i="1" s="1"/>
  <c r="E517" i="1"/>
  <c r="E602" i="1"/>
  <c r="E643" i="1"/>
  <c r="E665" i="1"/>
  <c r="E349" i="1"/>
  <c r="E547" i="1"/>
  <c r="E619" i="1"/>
  <c r="H619" i="1" s="1"/>
  <c r="E296" i="1"/>
  <c r="H296" i="1" s="1"/>
  <c r="E338" i="1"/>
  <c r="E603" i="1"/>
  <c r="H603" i="1" s="1"/>
  <c r="I603" i="1" s="1"/>
  <c r="E620" i="1"/>
  <c r="H620" i="1" s="1"/>
  <c r="I620" i="1" s="1"/>
  <c r="E321" i="1"/>
  <c r="E695" i="1"/>
  <c r="E548" i="1"/>
  <c r="H548" i="1" s="1"/>
  <c r="E654" i="1"/>
  <c r="H654" i="1" s="1"/>
  <c r="E376" i="1"/>
  <c r="E725" i="1"/>
  <c r="H725" i="1" s="1"/>
  <c r="E666" i="1"/>
  <c r="E394" i="1"/>
  <c r="H394" i="1" s="1"/>
  <c r="I394" i="1" s="1"/>
  <c r="E477" i="1"/>
  <c r="H477" i="1" s="1"/>
  <c r="I477" i="1" s="1"/>
  <c r="E563" i="1"/>
  <c r="H563" i="1" s="1"/>
  <c r="I563" i="1" s="1"/>
  <c r="E679" i="1"/>
  <c r="H679" i="1" s="1"/>
  <c r="I679" i="1" s="1"/>
  <c r="E696" i="1"/>
  <c r="H696" i="1" s="1"/>
  <c r="I696" i="1" s="1"/>
  <c r="E667" i="1"/>
  <c r="H667" i="1" s="1"/>
  <c r="E518" i="1"/>
  <c r="E564" i="1"/>
  <c r="E425" i="1"/>
  <c r="E490" i="1"/>
  <c r="E577" i="1"/>
  <c r="H577" i="1" s="1"/>
  <c r="E426" i="1"/>
  <c r="H426" i="1" s="1"/>
  <c r="E491" i="1"/>
  <c r="H491" i="1" s="1"/>
  <c r="E410" i="1"/>
  <c r="E680" i="1"/>
  <c r="E411" i="1"/>
  <c r="E726" i="1"/>
  <c r="E322" i="1"/>
  <c r="E441" i="1"/>
  <c r="E427" i="1"/>
  <c r="E323" i="1"/>
  <c r="E668" i="1"/>
  <c r="E395" i="1"/>
  <c r="E363" i="1"/>
  <c r="E492" i="1"/>
  <c r="E396" i="1"/>
  <c r="E493" i="1"/>
  <c r="E590" i="1"/>
  <c r="E442" i="1"/>
  <c r="E681" i="1"/>
  <c r="E324" i="1"/>
  <c r="H324" i="1" s="1"/>
  <c r="E632" i="1"/>
  <c r="H632" i="1" s="1"/>
  <c r="I632" i="1" s="1"/>
  <c r="E325" i="1"/>
  <c r="H325" i="1" s="1"/>
  <c r="E285" i="1"/>
  <c r="E519" i="1"/>
  <c r="E533" i="1"/>
  <c r="E377" i="1"/>
  <c r="E412" i="1"/>
  <c r="E339" i="1"/>
  <c r="E549" i="1"/>
  <c r="E604" i="1"/>
  <c r="E565" i="1"/>
  <c r="E550" i="1"/>
  <c r="E655" i="1"/>
  <c r="E378" i="1"/>
  <c r="E621" i="1"/>
  <c r="E709" i="1"/>
  <c r="E379" i="1"/>
  <c r="E534" i="1"/>
  <c r="E364" i="1"/>
  <c r="E309" i="1"/>
  <c r="H309" i="1" s="1"/>
  <c r="E682" i="1"/>
  <c r="H682" i="1" s="1"/>
  <c r="I682" i="1" s="1"/>
  <c r="E478" i="1"/>
  <c r="H478" i="1" s="1"/>
  <c r="I478" i="1" s="1"/>
  <c r="E297" i="1"/>
  <c r="E459" i="1"/>
  <c r="E310" i="1"/>
  <c r="E479" i="1"/>
  <c r="E350" i="1"/>
  <c r="E644" i="1"/>
  <c r="E351" i="1"/>
  <c r="E710" i="1"/>
  <c r="E656" i="1"/>
  <c r="E480" i="1"/>
  <c r="E605" i="1"/>
  <c r="E711" i="1"/>
  <c r="E622" i="1"/>
  <c r="E397" i="1"/>
  <c r="E352" i="1"/>
  <c r="E380" i="1"/>
  <c r="E460" i="1"/>
  <c r="E365" i="1"/>
  <c r="H365" i="1" s="1"/>
  <c r="E15" i="1"/>
  <c r="AN20" i="1"/>
  <c r="AN21" i="1" s="1"/>
  <c r="AN22" i="1" s="1"/>
  <c r="AN23" i="1" s="1"/>
  <c r="AN24" i="1" s="1"/>
  <c r="AN11" i="1"/>
  <c r="AN12" i="1" s="1"/>
  <c r="AN13" i="1" s="1"/>
  <c r="AN14" i="1" s="1"/>
  <c r="AN15" i="1" s="1"/>
  <c r="AK2" i="1" s="1"/>
  <c r="AE12" i="1" a="1"/>
  <c r="AE12" i="1" s="1"/>
  <c r="AE13" i="1" a="1"/>
  <c r="AE13" i="1" s="1"/>
  <c r="AE14" i="1" a="1"/>
  <c r="AE14" i="1" s="1"/>
  <c r="AE15" i="1" a="1"/>
  <c r="AE15" i="1" s="1"/>
  <c r="AE16" i="1" a="1"/>
  <c r="AE16" i="1" s="1"/>
  <c r="AE17" i="1" a="1"/>
  <c r="AE17" i="1" s="1"/>
  <c r="AE18" i="1" a="1"/>
  <c r="AE18" i="1" s="1"/>
  <c r="AE19" i="1" a="1"/>
  <c r="AE19" i="1" s="1"/>
  <c r="AE20" i="1" a="1"/>
  <c r="AE20" i="1" s="1"/>
  <c r="AE11" i="1" a="1"/>
  <c r="AE11" i="1" s="1"/>
  <c r="S313" i="1" l="1"/>
  <c r="S89" i="1"/>
  <c r="I155" i="1"/>
  <c r="I72" i="1"/>
  <c r="J72" i="1" s="1"/>
  <c r="I610" i="1"/>
  <c r="J610" i="1" s="1"/>
  <c r="I245" i="1"/>
  <c r="J245" i="1" s="1"/>
  <c r="I100" i="1"/>
  <c r="J100" i="1" s="1"/>
  <c r="I347" i="1"/>
  <c r="J347" i="1" s="1"/>
  <c r="I359" i="1"/>
  <c r="J359" i="1" s="1"/>
  <c r="I446" i="1"/>
  <c r="J446" i="1" s="1"/>
  <c r="I520" i="1"/>
  <c r="J520" i="1" s="1"/>
  <c r="I208" i="1"/>
  <c r="J208" i="1" s="1"/>
  <c r="I97" i="1"/>
  <c r="J97" i="1" s="1"/>
  <c r="I68" i="1"/>
  <c r="J68" i="1" s="1"/>
  <c r="I212" i="1"/>
  <c r="J212" i="1" s="1"/>
  <c r="I79" i="1"/>
  <c r="J79" i="1" s="1"/>
  <c r="I539" i="1"/>
  <c r="J539" i="1" s="1"/>
  <c r="I128" i="1"/>
  <c r="J128" i="1" s="1"/>
  <c r="I56" i="1"/>
  <c r="J56" i="1" s="1"/>
  <c r="I667" i="1"/>
  <c r="J667" i="1" s="1"/>
  <c r="I429" i="1"/>
  <c r="J429" i="1" s="1"/>
  <c r="I211" i="1"/>
  <c r="J211" i="1" s="1"/>
  <c r="I290" i="1"/>
  <c r="J290" i="1" s="1"/>
  <c r="I609" i="1"/>
  <c r="J609" i="1" s="1"/>
  <c r="I699" i="1"/>
  <c r="J699" i="1" s="1"/>
  <c r="I712" i="1"/>
  <c r="J712" i="1" s="1"/>
  <c r="I173" i="1"/>
  <c r="J173" i="1" s="1"/>
  <c r="I118" i="1"/>
  <c r="J118" i="1" s="1"/>
  <c r="I32" i="1"/>
  <c r="J32" i="1" s="1"/>
  <c r="I725" i="1"/>
  <c r="J725" i="1" s="1"/>
  <c r="I145" i="1"/>
  <c r="J145" i="1" s="1"/>
  <c r="I654" i="1"/>
  <c r="J654" i="1" s="1"/>
  <c r="I219" i="1"/>
  <c r="J219" i="1" s="1"/>
  <c r="I27" i="1"/>
  <c r="I423" i="1"/>
  <c r="J423" i="1" s="1"/>
  <c r="I233" i="1"/>
  <c r="J233" i="1" s="1"/>
  <c r="I165" i="1"/>
  <c r="J165" i="1" s="1"/>
  <c r="I585" i="1"/>
  <c r="J585" i="1" s="1"/>
  <c r="I387" i="1"/>
  <c r="J387" i="1" s="1"/>
  <c r="I438" i="1"/>
  <c r="J438" i="1" s="1"/>
  <c r="I663" i="1"/>
  <c r="J663" i="1" s="1"/>
  <c r="I526" i="1"/>
  <c r="J526" i="1" s="1"/>
  <c r="I465" i="1"/>
  <c r="I178" i="1"/>
  <c r="J178" i="1" s="1"/>
  <c r="I135" i="1"/>
  <c r="J135" i="1" s="1"/>
  <c r="I717" i="1"/>
  <c r="J717" i="1" s="1"/>
  <c r="I555" i="1"/>
  <c r="J555" i="1" s="1"/>
  <c r="I472" i="1"/>
  <c r="J472" i="1" s="1"/>
  <c r="I651" i="1"/>
  <c r="J651" i="1" s="1"/>
  <c r="S651" i="1"/>
  <c r="I468" i="1"/>
  <c r="J468" i="1" s="1"/>
  <c r="I330" i="1"/>
  <c r="J330" i="1" s="1"/>
  <c r="I580" i="1"/>
  <c r="J580" i="1" s="1"/>
  <c r="I569" i="1"/>
  <c r="J569" i="1" s="1"/>
  <c r="I120" i="1"/>
  <c r="J120" i="1" s="1"/>
  <c r="I200" i="1"/>
  <c r="J200" i="1" s="1"/>
  <c r="I113" i="1"/>
  <c r="J113" i="1" s="1"/>
  <c r="I392" i="1"/>
  <c r="J392" i="1" s="1"/>
  <c r="I445" i="1"/>
  <c r="J445" i="1" s="1"/>
  <c r="I566" i="1"/>
  <c r="J566" i="1" s="1"/>
  <c r="I54" i="1"/>
  <c r="J54" i="1" s="1"/>
  <c r="I456" i="1"/>
  <c r="J456" i="1" s="1"/>
  <c r="I671" i="1"/>
  <c r="J671" i="1" s="1"/>
  <c r="I591" i="1"/>
  <c r="J591" i="1" s="1"/>
  <c r="I157" i="1"/>
  <c r="J157" i="1" s="1"/>
  <c r="I548" i="1"/>
  <c r="J548" i="1" s="1"/>
  <c r="I693" i="1"/>
  <c r="J693" i="1" s="1"/>
  <c r="I623" i="1"/>
  <c r="J623" i="1" s="1"/>
  <c r="I513" i="1"/>
  <c r="J513" i="1" s="1"/>
  <c r="I291" i="1"/>
  <c r="J291" i="1" s="1"/>
  <c r="I313" i="1"/>
  <c r="J313" i="1" s="1"/>
  <c r="I576" i="1"/>
  <c r="J576" i="1" s="1"/>
  <c r="I650" i="1"/>
  <c r="J650" i="1" s="1"/>
  <c r="I575" i="1"/>
  <c r="J575" i="1" s="1"/>
  <c r="I613" i="1"/>
  <c r="J613" i="1" s="1"/>
  <c r="I672" i="1"/>
  <c r="J672" i="1" s="1"/>
  <c r="I648" i="1"/>
  <c r="J648" i="1" s="1"/>
  <c r="I259" i="1"/>
  <c r="J259" i="1" s="1"/>
  <c r="I360" i="1"/>
  <c r="J360" i="1" s="1"/>
  <c r="I334" i="1"/>
  <c r="J334" i="1" s="1"/>
  <c r="I688" i="1"/>
  <c r="J688" i="1" s="1"/>
  <c r="I269" i="1"/>
  <c r="J269" i="1" s="1"/>
  <c r="I436" i="1"/>
  <c r="J436" i="1" s="1"/>
  <c r="I408" i="1"/>
  <c r="J408" i="1" s="1"/>
  <c r="I194" i="1"/>
  <c r="J194" i="1" s="1"/>
  <c r="I368" i="1"/>
  <c r="J368" i="1" s="1"/>
  <c r="I12" i="1"/>
  <c r="J12" i="1" s="1"/>
  <c r="I676" i="1"/>
  <c r="J676" i="1" s="1"/>
  <c r="I514" i="1"/>
  <c r="J514" i="1" s="1"/>
  <c r="I121" i="1"/>
  <c r="J121" i="1" s="1"/>
  <c r="I51" i="1"/>
  <c r="J51" i="1" s="1"/>
  <c r="I300" i="1"/>
  <c r="J300" i="1" s="1"/>
  <c r="I522" i="1"/>
  <c r="J522" i="1" s="1"/>
  <c r="I586" i="1"/>
  <c r="J586" i="1" s="1"/>
  <c r="I619" i="1"/>
  <c r="J619" i="1" s="1"/>
  <c r="I530" i="1"/>
  <c r="J530" i="1" s="1"/>
  <c r="I89" i="1"/>
  <c r="J89" i="1" s="1"/>
  <c r="I561" i="1"/>
  <c r="J561" i="1" s="1"/>
  <c r="I279" i="1"/>
  <c r="J279" i="1" s="1"/>
  <c r="I213" i="1"/>
  <c r="J213" i="1" s="1"/>
  <c r="I166" i="1"/>
  <c r="J166" i="1" s="1"/>
  <c r="I64" i="1"/>
  <c r="J64" i="1" s="1"/>
  <c r="I136" i="1"/>
  <c r="J136" i="1" s="1"/>
  <c r="I9" i="1"/>
  <c r="J9" i="1" s="1"/>
  <c r="I653" i="1"/>
  <c r="J653" i="1" s="1"/>
  <c r="I691" i="1"/>
  <c r="J691" i="1" s="1"/>
  <c r="I203" i="1"/>
  <c r="J203" i="1" s="1"/>
  <c r="I664" i="1"/>
  <c r="J664" i="1" s="1"/>
  <c r="I464" i="1"/>
  <c r="J464" i="1" s="1"/>
  <c r="I7" i="1"/>
  <c r="J7" i="1" s="1"/>
  <c r="I689" i="1"/>
  <c r="J689" i="1" s="1"/>
  <c r="I142" i="1"/>
  <c r="J142" i="1" s="1"/>
  <c r="I13" i="1"/>
  <c r="J13" i="1" s="1"/>
  <c r="I562" i="1"/>
  <c r="J562" i="1" s="1"/>
  <c r="I402" i="1"/>
  <c r="J402" i="1" s="1"/>
  <c r="I484" i="1"/>
  <c r="J484" i="1" s="1"/>
  <c r="I354" i="1"/>
  <c r="J354" i="1" s="1"/>
  <c r="I325" i="1"/>
  <c r="J325" i="1" s="1"/>
  <c r="I491" i="1"/>
  <c r="J491" i="1" s="1"/>
  <c r="I195" i="1"/>
  <c r="J195" i="1" s="1"/>
  <c r="I433" i="1"/>
  <c r="J433" i="1" s="1"/>
  <c r="I608" i="1"/>
  <c r="J608" i="1" s="1"/>
  <c r="I132" i="1"/>
  <c r="J132" i="1" s="1"/>
  <c r="I69" i="1"/>
  <c r="J69" i="1" s="1"/>
  <c r="I426" i="1"/>
  <c r="J426" i="1" s="1"/>
  <c r="I167" i="1"/>
  <c r="J167" i="1" s="1"/>
  <c r="I74" i="1"/>
  <c r="J74" i="1" s="1"/>
  <c r="I66" i="1"/>
  <c r="J66" i="1" s="1"/>
  <c r="I365" i="1"/>
  <c r="J365" i="1" s="1"/>
  <c r="I309" i="1"/>
  <c r="J309" i="1" s="1"/>
  <c r="I324" i="1"/>
  <c r="J324" i="1" s="1"/>
  <c r="I577" i="1"/>
  <c r="J577" i="1" s="1"/>
  <c r="I588" i="1"/>
  <c r="J588" i="1" s="1"/>
  <c r="I252" i="1"/>
  <c r="J252" i="1" s="1"/>
  <c r="I174" i="1"/>
  <c r="J174" i="1" s="1"/>
  <c r="I63" i="1"/>
  <c r="J63" i="1" s="1"/>
  <c r="I296" i="1"/>
  <c r="J296" i="1" s="1"/>
  <c r="I516" i="1"/>
  <c r="J516" i="1" s="1"/>
  <c r="I361" i="1"/>
  <c r="J361" i="1" s="1"/>
  <c r="I531" i="1"/>
  <c r="J531" i="1" s="1"/>
  <c r="I674" i="1"/>
  <c r="J674" i="1" s="1"/>
  <c r="I437" i="1"/>
  <c r="J437" i="1" s="1"/>
  <c r="I243" i="1"/>
  <c r="J243" i="1" s="1"/>
  <c r="I248" i="1"/>
  <c r="J248" i="1" s="1"/>
  <c r="I60" i="1"/>
  <c r="J60" i="1" s="1"/>
  <c r="I545" i="1"/>
  <c r="J545" i="1" s="1"/>
  <c r="I544" i="1"/>
  <c r="J544" i="1" s="1"/>
  <c r="I558" i="1"/>
  <c r="J558" i="1" s="1"/>
  <c r="I486" i="1"/>
  <c r="J486" i="1" s="1"/>
  <c r="I578" i="1"/>
  <c r="J578" i="1" s="1"/>
  <c r="I124" i="1"/>
  <c r="J124" i="1" s="1"/>
  <c r="I119" i="1"/>
  <c r="J119" i="1" s="1"/>
  <c r="R254" i="1"/>
  <c r="S254" i="1" s="1"/>
  <c r="R267" i="1"/>
  <c r="R336" i="1"/>
  <c r="R688" i="1"/>
  <c r="S688" i="1" s="1"/>
  <c r="R500" i="1"/>
  <c r="R344" i="1"/>
  <c r="S344" i="1" s="1"/>
  <c r="R239" i="1"/>
  <c r="R662" i="1"/>
  <c r="R326" i="1"/>
  <c r="R650" i="1"/>
  <c r="S650" i="1" s="1"/>
  <c r="R683" i="1"/>
  <c r="R235" i="1"/>
  <c r="S235" i="1" s="1"/>
  <c r="R226" i="1"/>
  <c r="R224" i="1"/>
  <c r="R216" i="1"/>
  <c r="R215" i="1"/>
  <c r="R214" i="1"/>
  <c r="R324" i="1"/>
  <c r="S324" i="1" s="1"/>
  <c r="R92" i="1"/>
  <c r="O172" i="1"/>
  <c r="R172" i="1" s="1"/>
  <c r="R693" i="1"/>
  <c r="S693" i="1" s="1"/>
  <c r="R99" i="1"/>
  <c r="R696" i="1"/>
  <c r="S696" i="1" s="1"/>
  <c r="R394" i="1"/>
  <c r="S394" i="1" s="1"/>
  <c r="R148" i="1"/>
  <c r="R666" i="1"/>
  <c r="R420" i="1"/>
  <c r="S420" i="1" s="1"/>
  <c r="R100" i="1"/>
  <c r="S100" i="1" s="1"/>
  <c r="R725" i="1"/>
  <c r="S725" i="1" s="1"/>
  <c r="R330" i="1"/>
  <c r="S330" i="1" s="1"/>
  <c r="R97" i="1"/>
  <c r="S97" i="1" s="1"/>
  <c r="R665" i="1"/>
  <c r="R418" i="1"/>
  <c r="S418" i="1" s="1"/>
  <c r="R111" i="1"/>
  <c r="S111" i="1" s="1"/>
  <c r="R320" i="1"/>
  <c r="R687" i="1"/>
  <c r="S687" i="1" s="1"/>
  <c r="R96" i="1"/>
  <c r="R505" i="1"/>
  <c r="S505" i="1" s="1"/>
  <c r="R368" i="1"/>
  <c r="S368" i="1" s="1"/>
  <c r="R439" i="1"/>
  <c r="R580" i="1"/>
  <c r="S580" i="1" s="1"/>
  <c r="R105" i="1"/>
  <c r="S105" i="1" s="1"/>
  <c r="R695" i="1"/>
  <c r="R707" i="1"/>
  <c r="R361" i="1"/>
  <c r="S361" i="1" s="1"/>
  <c r="R606" i="1"/>
  <c r="R110" i="1"/>
  <c r="R464" i="1"/>
  <c r="S464" i="1" s="1"/>
  <c r="R593" i="1"/>
  <c r="R259" i="1"/>
  <c r="S259" i="1" s="1"/>
  <c r="R381" i="1"/>
  <c r="R35" i="1"/>
  <c r="S35" i="1" s="1"/>
  <c r="R395" i="1"/>
  <c r="R474" i="1"/>
  <c r="S474" i="1" s="1"/>
  <c r="R697" i="1"/>
  <c r="R62" i="1"/>
  <c r="R123" i="1"/>
  <c r="R726" i="1"/>
  <c r="R356" i="1"/>
  <c r="R128" i="1"/>
  <c r="S128" i="1" s="1"/>
  <c r="R329" i="1"/>
  <c r="R84" i="1"/>
  <c r="S84" i="1" s="1"/>
  <c r="R637" i="1"/>
  <c r="R18" i="1"/>
  <c r="R552" i="1"/>
  <c r="R376" i="1"/>
  <c r="R592" i="1"/>
  <c r="R24" i="1"/>
  <c r="S24" i="1" s="1"/>
  <c r="R654" i="1"/>
  <c r="S654" i="1" s="1"/>
  <c r="R468" i="1"/>
  <c r="S468" i="1" s="1"/>
  <c r="R623" i="1"/>
  <c r="S623" i="1" s="1"/>
  <c r="R548" i="1"/>
  <c r="S548" i="1" s="1"/>
  <c r="R467" i="1"/>
  <c r="R566" i="1"/>
  <c r="S566" i="1" s="1"/>
  <c r="R250" i="1"/>
  <c r="R207" i="1"/>
  <c r="S207" i="1" s="1"/>
  <c r="R423" i="1"/>
  <c r="S423" i="1" s="1"/>
  <c r="R542" i="1"/>
  <c r="R494" i="1"/>
  <c r="R387" i="1"/>
  <c r="S387" i="1" s="1"/>
  <c r="R321" i="1"/>
  <c r="R617" i="1"/>
  <c r="S617" i="1" s="1"/>
  <c r="R338" i="1"/>
  <c r="R306" i="1"/>
  <c r="R521" i="1"/>
  <c r="R585" i="1"/>
  <c r="S585" i="1" s="1"/>
  <c r="R551" i="1"/>
  <c r="R333" i="1"/>
  <c r="R576" i="1"/>
  <c r="S576" i="1" s="1"/>
  <c r="R293" i="1"/>
  <c r="R484" i="1"/>
  <c r="S484" i="1" s="1"/>
  <c r="R46" i="1"/>
  <c r="R489" i="1"/>
  <c r="R314" i="1"/>
  <c r="R34" i="1"/>
  <c r="R656" i="1"/>
  <c r="R705" i="1"/>
  <c r="R72" i="1"/>
  <c r="S72" i="1" s="1"/>
  <c r="R364" i="1"/>
  <c r="R453" i="1"/>
  <c r="R67" i="1"/>
  <c r="R709" i="1"/>
  <c r="R284" i="1"/>
  <c r="R639" i="1"/>
  <c r="R570" i="1"/>
  <c r="R443" i="1"/>
  <c r="R32" i="1"/>
  <c r="S32" i="1" s="1"/>
  <c r="AC13" i="1" s="1" a="1"/>
  <c r="AC13" i="1" s="1"/>
  <c r="R441" i="1"/>
  <c r="R626" i="1"/>
  <c r="R621" i="1"/>
  <c r="R664" i="1"/>
  <c r="S664" i="1" s="1"/>
  <c r="R471" i="1"/>
  <c r="R700" i="1"/>
  <c r="R270" i="1"/>
  <c r="R129" i="1"/>
  <c r="R211" i="1"/>
  <c r="S211" i="1" s="1"/>
  <c r="R163" i="1"/>
  <c r="R223" i="1"/>
  <c r="R681" i="1"/>
  <c r="R98" i="1"/>
  <c r="R152" i="1"/>
  <c r="R209" i="1"/>
  <c r="S209" i="1" s="1"/>
  <c r="R288" i="1"/>
  <c r="R212" i="1"/>
  <c r="S212" i="1" s="1"/>
  <c r="R208" i="1"/>
  <c r="S208" i="1" s="1"/>
  <c r="R196" i="1"/>
  <c r="R189" i="1"/>
  <c r="S189" i="1" s="1"/>
  <c r="R187" i="1"/>
  <c r="R122" i="1"/>
  <c r="R658" i="1"/>
  <c r="R144" i="1"/>
  <c r="R130" i="1"/>
  <c r="R565" i="1"/>
  <c r="R694" i="1"/>
  <c r="R513" i="1"/>
  <c r="S513" i="1" s="1"/>
  <c r="R386" i="1"/>
  <c r="R398" i="1"/>
  <c r="R57" i="1"/>
  <c r="R674" i="1"/>
  <c r="S674" i="1" s="1"/>
  <c r="R164" i="1"/>
  <c r="R472" i="1"/>
  <c r="S472" i="1" s="1"/>
  <c r="R273" i="1"/>
  <c r="R86" i="1"/>
  <c r="S86" i="1" s="1"/>
  <c r="R347" i="1"/>
  <c r="S347" i="1" s="1"/>
  <c r="R721" i="1"/>
  <c r="S721" i="1" s="1"/>
  <c r="R609" i="1"/>
  <c r="S609" i="1" s="1"/>
  <c r="R429" i="1"/>
  <c r="S429" i="1" s="1"/>
  <c r="R645" i="1"/>
  <c r="R154" i="1"/>
  <c r="R117" i="1"/>
  <c r="R91" i="1"/>
  <c r="R296" i="1"/>
  <c r="S296" i="1" s="1"/>
  <c r="R640" i="1"/>
  <c r="R487" i="1"/>
  <c r="R612" i="1"/>
  <c r="R303" i="1"/>
  <c r="S303" i="1" s="1"/>
  <c r="R446" i="1"/>
  <c r="S446" i="1" s="1"/>
  <c r="R538" i="1"/>
  <c r="R399" i="1"/>
  <c r="S399" i="1" s="1"/>
  <c r="R251" i="1"/>
  <c r="R104" i="1"/>
  <c r="S104" i="1" s="1"/>
  <c r="R179" i="1"/>
  <c r="R74" i="1"/>
  <c r="S74" i="1" s="1"/>
  <c r="R40" i="1"/>
  <c r="O318" i="1"/>
  <c r="R318" i="1" s="1"/>
  <c r="S318" i="1" s="1"/>
  <c r="R657" i="1"/>
  <c r="R133" i="1"/>
  <c r="R79" i="1"/>
  <c r="S79" i="1" s="1"/>
  <c r="R493" i="1"/>
  <c r="R349" i="1"/>
  <c r="R587" i="1"/>
  <c r="R346" i="1"/>
  <c r="R451" i="1"/>
  <c r="S451" i="1" s="1"/>
  <c r="R660" i="1"/>
  <c r="R485" i="1"/>
  <c r="R431" i="1"/>
  <c r="R523" i="1"/>
  <c r="R298" i="1"/>
  <c r="R95" i="1"/>
  <c r="R178" i="1"/>
  <c r="S178" i="1" s="1"/>
  <c r="R170" i="1"/>
  <c r="R38" i="1"/>
  <c r="R449" i="1"/>
  <c r="R401" i="1"/>
  <c r="R642" i="1"/>
  <c r="R502" i="1"/>
  <c r="S502" i="1" s="1"/>
  <c r="R676" i="1"/>
  <c r="S676" i="1" s="1"/>
  <c r="R557" i="1"/>
  <c r="R627" i="1"/>
  <c r="R287" i="1"/>
  <c r="R483" i="1"/>
  <c r="R633" i="1"/>
  <c r="R165" i="1"/>
  <c r="S165" i="1" s="1"/>
  <c r="R138" i="1"/>
  <c r="R53" i="1"/>
  <c r="R28" i="1"/>
  <c r="R604" i="1"/>
  <c r="R541" i="1"/>
  <c r="R507" i="1"/>
  <c r="R668" i="1"/>
  <c r="R517" i="1"/>
  <c r="R724" i="1"/>
  <c r="S724" i="1" s="1"/>
  <c r="R720" i="1"/>
  <c r="R280" i="1"/>
  <c r="R404" i="1"/>
  <c r="R498" i="1"/>
  <c r="R367" i="1"/>
  <c r="R238" i="1"/>
  <c r="R156" i="1"/>
  <c r="R125" i="1"/>
  <c r="R54" i="1"/>
  <c r="S54" i="1" s="1"/>
  <c r="R22" i="1"/>
  <c r="R527" i="1"/>
  <c r="R448" i="1"/>
  <c r="R255" i="1"/>
  <c r="O25" i="1"/>
  <c r="R25" i="1" s="1"/>
  <c r="R710" i="1"/>
  <c r="R308" i="1"/>
  <c r="R457" i="1"/>
  <c r="R515" i="1"/>
  <c r="S515" i="1" s="1"/>
  <c r="R501" i="1"/>
  <c r="R611" i="1"/>
  <c r="R290" i="1"/>
  <c r="S290" i="1" s="1"/>
  <c r="R572" i="1"/>
  <c r="R635" i="1"/>
  <c r="R354" i="1"/>
  <c r="S354" i="1" s="1"/>
  <c r="R444" i="1"/>
  <c r="R153" i="1"/>
  <c r="R176" i="1"/>
  <c r="R70" i="1"/>
  <c r="S70" i="1" s="1"/>
  <c r="R539" i="1"/>
  <c r="S539" i="1" s="1"/>
  <c r="R610" i="1"/>
  <c r="S610" i="1" s="1"/>
  <c r="R350" i="1"/>
  <c r="R322" i="1"/>
  <c r="R546" i="1"/>
  <c r="R269" i="1"/>
  <c r="S269" i="1" s="1"/>
  <c r="R392" i="1"/>
  <c r="S392" i="1" s="1"/>
  <c r="R358" i="1"/>
  <c r="R403" i="1"/>
  <c r="R524" i="1"/>
  <c r="R430" i="1"/>
  <c r="R496" i="1"/>
  <c r="R272" i="1"/>
  <c r="R234" i="1"/>
  <c r="R206" i="1"/>
  <c r="R149" i="1"/>
  <c r="R113" i="1"/>
  <c r="S113" i="1" s="1"/>
  <c r="R66" i="1"/>
  <c r="S66" i="1" s="1"/>
  <c r="R20" i="1"/>
  <c r="R582" i="1"/>
  <c r="R388" i="1"/>
  <c r="R360" i="1"/>
  <c r="S360" i="1" s="1"/>
  <c r="R412" i="1"/>
  <c r="R407" i="1"/>
  <c r="R103" i="1"/>
  <c r="R157" i="1"/>
  <c r="S157" i="1" s="1"/>
  <c r="O438" i="1"/>
  <c r="R438" i="1" s="1"/>
  <c r="S438" i="1" s="1"/>
  <c r="R479" i="1"/>
  <c r="R409" i="1"/>
  <c r="R408" i="1"/>
  <c r="S408" i="1" s="1"/>
  <c r="R456" i="1"/>
  <c r="S456" i="1" s="1"/>
  <c r="R629" i="1"/>
  <c r="R600" i="1"/>
  <c r="R717" i="1"/>
  <c r="S717" i="1" s="1"/>
  <c r="R636" i="1"/>
  <c r="R299" i="1"/>
  <c r="R579" i="1"/>
  <c r="R233" i="1"/>
  <c r="S233" i="1" s="1"/>
  <c r="R205" i="1"/>
  <c r="R147" i="1"/>
  <c r="R94" i="1"/>
  <c r="S94" i="1" s="1"/>
  <c r="R63" i="1"/>
  <c r="S63" i="1" s="1"/>
  <c r="R17" i="1"/>
  <c r="R382" i="1"/>
  <c r="R77" i="1"/>
  <c r="R220" i="1"/>
  <c r="S220" i="1" s="1"/>
  <c r="R82" i="1"/>
  <c r="S82" i="1" s="1"/>
  <c r="R377" i="1"/>
  <c r="R470" i="1"/>
  <c r="R160" i="1"/>
  <c r="R145" i="1"/>
  <c r="S145" i="1" s="1"/>
  <c r="R369" i="1"/>
  <c r="R275" i="1"/>
  <c r="S275" i="1" s="1"/>
  <c r="R258" i="1"/>
  <c r="R405" i="1"/>
  <c r="R339" i="1"/>
  <c r="R390" i="1"/>
  <c r="R112" i="1"/>
  <c r="R310" i="1"/>
  <c r="R334" i="1"/>
  <c r="S334" i="1" s="1"/>
  <c r="R434" i="1"/>
  <c r="R648" i="1"/>
  <c r="S648" i="1" s="1"/>
  <c r="R679" i="1"/>
  <c r="S679" i="1" s="1"/>
  <c r="R596" i="1"/>
  <c r="R278" i="1"/>
  <c r="R465" i="1"/>
  <c r="S465" i="1" s="1"/>
  <c r="R328" i="1"/>
  <c r="R297" i="1"/>
  <c r="R563" i="1"/>
  <c r="S563" i="1" s="1"/>
  <c r="R575" i="1"/>
  <c r="S575" i="1" s="1"/>
  <c r="R424" i="1"/>
  <c r="R663" i="1"/>
  <c r="S663" i="1" s="1"/>
  <c r="R703" i="1"/>
  <c r="R332" i="1"/>
  <c r="R301" i="1"/>
  <c r="R581" i="1"/>
  <c r="R445" i="1"/>
  <c r="S445" i="1" s="1"/>
  <c r="R669" i="1"/>
  <c r="R230" i="1"/>
  <c r="R191" i="1"/>
  <c r="R139" i="1"/>
  <c r="R106" i="1"/>
  <c r="R50" i="1"/>
  <c r="R9" i="1"/>
  <c r="S9" i="1" s="1"/>
  <c r="R661" i="1"/>
  <c r="R599" i="1"/>
  <c r="R699" i="1"/>
  <c r="S699" i="1" s="1"/>
  <c r="R432" i="1"/>
  <c r="R675" i="1"/>
  <c r="R499" i="1"/>
  <c r="R257" i="1"/>
  <c r="R304" i="1"/>
  <c r="S304" i="1" s="1"/>
  <c r="R265" i="1"/>
  <c r="R373" i="1"/>
  <c r="R447" i="1"/>
  <c r="R647" i="1"/>
  <c r="R232" i="1"/>
  <c r="R204" i="1"/>
  <c r="R14" i="1"/>
  <c r="R459" i="1"/>
  <c r="R348" i="1"/>
  <c r="R319" i="1"/>
  <c r="R231" i="1"/>
  <c r="R174" i="1"/>
  <c r="S174" i="1" s="1"/>
  <c r="R12" i="1"/>
  <c r="S12" i="1" s="1"/>
  <c r="R634" i="1"/>
  <c r="R309" i="1"/>
  <c r="S309" i="1" s="1"/>
  <c r="R477" i="1"/>
  <c r="S477" i="1" s="1"/>
  <c r="R588" i="1"/>
  <c r="S588" i="1" s="1"/>
  <c r="R504" i="1"/>
  <c r="R473" i="1"/>
  <c r="R421" i="1"/>
  <c r="R437" i="1"/>
  <c r="S437" i="1" s="1"/>
  <c r="R659" i="1"/>
  <c r="R540" i="1"/>
  <c r="R416" i="1"/>
  <c r="R312" i="1"/>
  <c r="R535" i="1"/>
  <c r="R55" i="1"/>
  <c r="R190" i="1"/>
  <c r="R135" i="1"/>
  <c r="S135" i="1" s="1"/>
  <c r="R118" i="1"/>
  <c r="S118" i="1" s="1"/>
  <c r="R48" i="1"/>
  <c r="R13" i="1"/>
  <c r="S13" i="1" s="1"/>
  <c r="O564" i="1"/>
  <c r="R564" i="1" s="1"/>
  <c r="R711" i="1"/>
  <c r="O601" i="1"/>
  <c r="R601" i="1" s="1"/>
  <c r="O723" i="1"/>
  <c r="R723" i="1" s="1"/>
  <c r="O571" i="1"/>
  <c r="R571" i="1" s="1"/>
  <c r="O276" i="1"/>
  <c r="R276" i="1" s="1"/>
  <c r="S276" i="1" s="1"/>
  <c r="O114" i="1"/>
  <c r="R114" i="1" s="1"/>
  <c r="R168" i="1"/>
  <c r="O530" i="1"/>
  <c r="R530" i="1" s="1"/>
  <c r="S530" i="1" s="1"/>
  <c r="O294" i="1"/>
  <c r="R294" i="1" s="1"/>
  <c r="R597" i="1"/>
  <c r="O686" i="1"/>
  <c r="R686" i="1" s="1"/>
  <c r="R150" i="1"/>
  <c r="S150" i="1" s="1"/>
  <c r="O88" i="1"/>
  <c r="R88" i="1" s="1"/>
  <c r="R155" i="1"/>
  <c r="S155" i="1" s="1"/>
  <c r="O643" i="1"/>
  <c r="R643" i="1" s="1"/>
  <c r="R584" i="1"/>
  <c r="R396" i="1"/>
  <c r="O119" i="1"/>
  <c r="R119" i="1" s="1"/>
  <c r="S119" i="1" s="1"/>
  <c r="O83" i="1"/>
  <c r="R83" i="1"/>
  <c r="O11" i="1"/>
  <c r="R11" i="1" s="1"/>
  <c r="R531" i="1"/>
  <c r="S531" i="1" s="1"/>
  <c r="O712" i="1"/>
  <c r="R712" i="1" s="1"/>
  <c r="S712" i="1" s="1"/>
  <c r="O229" i="1"/>
  <c r="R229" i="1" s="1"/>
  <c r="O60" i="1"/>
  <c r="R60" i="1"/>
  <c r="S60" i="1" s="1"/>
  <c r="O47" i="1"/>
  <c r="R47" i="1" s="1"/>
  <c r="O573" i="1"/>
  <c r="R573" i="1" s="1"/>
  <c r="O607" i="1"/>
  <c r="R607" i="1" s="1"/>
  <c r="O646" i="1"/>
  <c r="R646" i="1"/>
  <c r="O81" i="1"/>
  <c r="R81" i="1" s="1"/>
  <c r="O44" i="1"/>
  <c r="R44" i="1" s="1"/>
  <c r="R455" i="1"/>
  <c r="O628" i="1"/>
  <c r="R628" i="1" s="1"/>
  <c r="O450" i="1"/>
  <c r="R450" i="1" s="1"/>
  <c r="O555" i="1"/>
  <c r="R555" i="1" s="1"/>
  <c r="S555" i="1" s="1"/>
  <c r="O415" i="1"/>
  <c r="R415" i="1" s="1"/>
  <c r="O327" i="1"/>
  <c r="R327" i="1" s="1"/>
  <c r="R219" i="1"/>
  <c r="S219" i="1" s="1"/>
  <c r="O203" i="1"/>
  <c r="R203" i="1" s="1"/>
  <c r="S203" i="1" s="1"/>
  <c r="R101" i="1"/>
  <c r="S101" i="1" s="1"/>
  <c r="O638" i="1"/>
  <c r="R638" i="1"/>
  <c r="O279" i="1"/>
  <c r="R279" i="1" s="1"/>
  <c r="S279" i="1" s="1"/>
  <c r="O510" i="1"/>
  <c r="R510" i="1" s="1"/>
  <c r="O244" i="1"/>
  <c r="R244" i="1" s="1"/>
  <c r="R715" i="1"/>
  <c r="O672" i="1"/>
  <c r="R672" i="1"/>
  <c r="S672" i="1" s="1"/>
  <c r="O522" i="1"/>
  <c r="R522" i="1" s="1"/>
  <c r="S522" i="1" s="1"/>
  <c r="O240" i="1"/>
  <c r="R240" i="1" s="1"/>
  <c r="S240" i="1" s="1"/>
  <c r="O213" i="1"/>
  <c r="R213" i="1" s="1"/>
  <c r="S213" i="1" s="1"/>
  <c r="O197" i="1"/>
  <c r="R197" i="1" s="1"/>
  <c r="O143" i="1"/>
  <c r="R143" i="1"/>
  <c r="O115" i="1"/>
  <c r="R115" i="1" s="1"/>
  <c r="O29" i="1"/>
  <c r="R29" i="1" s="1"/>
  <c r="R397" i="1"/>
  <c r="R410" i="1"/>
  <c r="R458" i="1"/>
  <c r="R706" i="1"/>
  <c r="R614" i="1"/>
  <c r="R262" i="1"/>
  <c r="R260" i="1"/>
  <c r="R151" i="1"/>
  <c r="R159" i="1"/>
  <c r="R73" i="1"/>
  <c r="O619" i="1"/>
  <c r="R619" i="1" s="1"/>
  <c r="S619" i="1" s="1"/>
  <c r="O263" i="1"/>
  <c r="R263" i="1" s="1"/>
  <c r="S263" i="1" s="1"/>
  <c r="O518" i="1"/>
  <c r="R518" i="1" s="1"/>
  <c r="O547" i="1"/>
  <c r="R547" i="1" s="1"/>
  <c r="O591" i="1"/>
  <c r="R591" i="1" s="1"/>
  <c r="S591" i="1" s="1"/>
  <c r="O23" i="1"/>
  <c r="R23" i="1"/>
  <c r="R605" i="1"/>
  <c r="O667" i="1"/>
  <c r="R667" i="1" s="1"/>
  <c r="S667" i="1" s="1"/>
  <c r="O261" i="1"/>
  <c r="R261" i="1" s="1"/>
  <c r="O553" i="1"/>
  <c r="R553" i="1" s="1"/>
  <c r="O300" i="1"/>
  <c r="R300" i="1" s="1"/>
  <c r="S300" i="1" s="1"/>
  <c r="O286" i="1"/>
  <c r="R286" i="1" s="1"/>
  <c r="O146" i="1"/>
  <c r="R146" i="1" s="1"/>
  <c r="O141" i="1"/>
  <c r="R141" i="1" s="1"/>
  <c r="O90" i="1"/>
  <c r="R90" i="1" s="1"/>
  <c r="O51" i="1"/>
  <c r="R51" i="1" s="1"/>
  <c r="S51" i="1" s="1"/>
  <c r="R480" i="1"/>
  <c r="R353" i="1"/>
  <c r="O488" i="1"/>
  <c r="R488" i="1" s="1"/>
  <c r="O652" i="1"/>
  <c r="R652" i="1" s="1"/>
  <c r="O222" i="1"/>
  <c r="R222" i="1" s="1"/>
  <c r="R109" i="1"/>
  <c r="R335" i="1"/>
  <c r="R27" i="1"/>
  <c r="S27" i="1" s="1"/>
  <c r="O532" i="1"/>
  <c r="R532" i="1"/>
  <c r="R181" i="1"/>
  <c r="O351" i="1"/>
  <c r="R351" i="1" s="1"/>
  <c r="R516" i="1"/>
  <c r="S516" i="1" s="1"/>
  <c r="O644" i="1"/>
  <c r="R644" i="1" s="1"/>
  <c r="R492" i="1"/>
  <c r="R440" i="1"/>
  <c r="R689" i="1"/>
  <c r="S689" i="1" s="1"/>
  <c r="R193" i="1"/>
  <c r="O102" i="1"/>
  <c r="R102" i="1" s="1"/>
  <c r="O7" i="1"/>
  <c r="R7" i="1" s="1"/>
  <c r="S7" i="1" s="1"/>
  <c r="R363" i="1"/>
  <c r="R372" i="1"/>
  <c r="R291" i="1"/>
  <c r="S291" i="1" s="1"/>
  <c r="R417" i="1"/>
  <c r="R253" i="1"/>
  <c r="R192" i="1"/>
  <c r="O384" i="1"/>
  <c r="R384" i="1" s="1"/>
  <c r="O247" i="1"/>
  <c r="R247" i="1" s="1"/>
  <c r="R107" i="1"/>
  <c r="O173" i="1"/>
  <c r="R173" i="1" s="1"/>
  <c r="S173" i="1" s="1"/>
  <c r="O75" i="1"/>
  <c r="R75" i="1" s="1"/>
  <c r="O26" i="1"/>
  <c r="R26" i="1" s="1"/>
  <c r="O10" i="1"/>
  <c r="R10" i="1" s="1"/>
  <c r="R512" i="1"/>
  <c r="R701" i="1"/>
  <c r="R158" i="1"/>
  <c r="O544" i="1"/>
  <c r="R544" i="1" s="1"/>
  <c r="S544" i="1" s="1"/>
  <c r="O391" i="1"/>
  <c r="R391" i="1" s="1"/>
  <c r="O331" i="1"/>
  <c r="R331" i="1" s="1"/>
  <c r="O520" i="1"/>
  <c r="R520" i="1" s="1"/>
  <c r="S520" i="1" s="1"/>
  <c r="O116" i="1"/>
  <c r="R116" i="1" s="1"/>
  <c r="O58" i="1"/>
  <c r="R58" i="1" s="1"/>
  <c r="O93" i="1"/>
  <c r="R93" i="1" s="1"/>
  <c r="O8" i="1"/>
  <c r="R8" i="1" s="1"/>
  <c r="O295" i="1"/>
  <c r="R295" i="1" s="1"/>
  <c r="O406" i="1"/>
  <c r="R406" i="1" s="1"/>
  <c r="O316" i="1"/>
  <c r="R316" i="1" s="1"/>
  <c r="O578" i="1"/>
  <c r="R578" i="1" s="1"/>
  <c r="S578" i="1" s="1"/>
  <c r="R228" i="1"/>
  <c r="O137" i="1"/>
  <c r="R137" i="1" s="1"/>
  <c r="O121" i="1"/>
  <c r="R121" i="1" s="1"/>
  <c r="S121" i="1" s="1"/>
  <c r="O6" i="1"/>
  <c r="R6" i="1" s="1"/>
  <c r="R323" i="1"/>
  <c r="R277" i="1"/>
  <c r="R68" i="1"/>
  <c r="S68" i="1" s="1"/>
  <c r="O478" i="1"/>
  <c r="R478" i="1" s="1"/>
  <c r="S478" i="1" s="1"/>
  <c r="O325" i="1"/>
  <c r="R325" i="1" s="1"/>
  <c r="S325" i="1" s="1"/>
  <c r="O708" i="1"/>
  <c r="R708" i="1"/>
  <c r="O454" i="1"/>
  <c r="R454" i="1"/>
  <c r="O469" i="1"/>
  <c r="R469" i="1" s="1"/>
  <c r="O227" i="1"/>
  <c r="R227" i="1" s="1"/>
  <c r="O65" i="1"/>
  <c r="R65" i="1" s="1"/>
  <c r="O56" i="1"/>
  <c r="R56" i="1" s="1"/>
  <c r="S56" i="1" s="1"/>
  <c r="O5" i="1"/>
  <c r="R5" i="1" s="1"/>
  <c r="R427" i="1"/>
  <c r="R463" i="1"/>
  <c r="R246" i="1"/>
  <c r="R127" i="1"/>
  <c r="R61" i="1"/>
  <c r="R43" i="1"/>
  <c r="S43" i="1" s="1"/>
  <c r="O2" i="1"/>
  <c r="R2" i="1"/>
  <c r="O682" i="1"/>
  <c r="R682" i="1" s="1"/>
  <c r="S682" i="1" s="1"/>
  <c r="O632" i="1"/>
  <c r="R632" i="1" s="1"/>
  <c r="S632" i="1" s="1"/>
  <c r="O362" i="1"/>
  <c r="R362" i="1" s="1"/>
  <c r="O560" i="1"/>
  <c r="R560" i="1" s="1"/>
  <c r="O371" i="1"/>
  <c r="R371" i="1" s="1"/>
  <c r="O435" i="1"/>
  <c r="R435" i="1" s="1"/>
  <c r="O583" i="1"/>
  <c r="R583" i="1" s="1"/>
  <c r="S583" i="1" s="1"/>
  <c r="R495" i="1"/>
  <c r="O243" i="1"/>
  <c r="R243" i="1" s="1"/>
  <c r="S243" i="1" s="1"/>
  <c r="R218" i="1"/>
  <c r="O202" i="1"/>
  <c r="R202" i="1" s="1"/>
  <c r="O49" i="1"/>
  <c r="R49" i="1" s="1"/>
  <c r="O33" i="1"/>
  <c r="R33" i="1" s="1"/>
  <c r="O4" i="1"/>
  <c r="R4" i="1" s="1"/>
  <c r="R673" i="1"/>
  <c r="R537" i="1"/>
  <c r="R245" i="1"/>
  <c r="S245" i="1" s="1"/>
  <c r="R120" i="1"/>
  <c r="S120" i="1" s="1"/>
  <c r="R188" i="1"/>
  <c r="R78" i="1"/>
  <c r="R41" i="1"/>
  <c r="S41" i="1" s="1"/>
  <c r="R21" i="1"/>
  <c r="S21" i="1" s="1"/>
  <c r="O653" i="1"/>
  <c r="R653" i="1" s="1"/>
  <c r="S653" i="1" s="1"/>
  <c r="O678" i="1"/>
  <c r="R678" i="1" s="1"/>
  <c r="O691" i="1"/>
  <c r="R691" i="1" s="1"/>
  <c r="S691" i="1" s="1"/>
  <c r="O305" i="1"/>
  <c r="R305" i="1" s="1"/>
  <c r="O436" i="1"/>
  <c r="R436" i="1" s="1"/>
  <c r="S436" i="1" s="1"/>
  <c r="O594" i="1"/>
  <c r="R594" i="1" s="1"/>
  <c r="O462" i="1"/>
  <c r="R462" i="1" s="1"/>
  <c r="O217" i="1"/>
  <c r="R217" i="1" s="1"/>
  <c r="O201" i="1"/>
  <c r="R201" i="1" s="1"/>
  <c r="O131" i="1"/>
  <c r="R131" i="1" s="1"/>
  <c r="O42" i="1"/>
  <c r="R42" i="1" s="1"/>
  <c r="O31" i="1"/>
  <c r="R31" i="1" s="1"/>
  <c r="S31" i="1" s="1"/>
  <c r="O15" i="1"/>
  <c r="R15" i="1" s="1"/>
  <c r="R378" i="1"/>
  <c r="R529" i="1"/>
  <c r="R704" i="1"/>
  <c r="R671" i="1"/>
  <c r="S671" i="1" s="1"/>
  <c r="R509" i="1"/>
  <c r="R536" i="1"/>
  <c r="R186" i="1"/>
  <c r="S186" i="1" s="1"/>
  <c r="R171" i="1"/>
  <c r="R19" i="1"/>
  <c r="O491" i="1"/>
  <c r="R491" i="1" s="1"/>
  <c r="S491" i="1" s="1"/>
  <c r="O641" i="1"/>
  <c r="R641" i="1" s="1"/>
  <c r="O292" i="1"/>
  <c r="R292" i="1" s="1"/>
  <c r="O558" i="1"/>
  <c r="R558" i="1" s="1"/>
  <c r="S558" i="1" s="1"/>
  <c r="O370" i="1"/>
  <c r="R370" i="1" s="1"/>
  <c r="O289" i="1"/>
  <c r="R289" i="1" s="1"/>
  <c r="O554" i="1"/>
  <c r="R554" i="1" s="1"/>
  <c r="S554" i="1" s="1"/>
  <c r="O497" i="1"/>
  <c r="R497" i="1" s="1"/>
  <c r="R242" i="1"/>
  <c r="O59" i="1"/>
  <c r="R59" i="1" s="1"/>
  <c r="O200" i="1"/>
  <c r="R200" i="1" s="1"/>
  <c r="S200" i="1" s="1"/>
  <c r="O183" i="1"/>
  <c r="R183" i="1" s="1"/>
  <c r="O177" i="1"/>
  <c r="R177" i="1" s="1"/>
  <c r="O52" i="1"/>
  <c r="R52" i="1" s="1"/>
  <c r="S52" i="1" s="1"/>
  <c r="R655" i="1"/>
  <c r="R630" i="1"/>
  <c r="R317" i="1"/>
  <c r="R595" i="1"/>
  <c r="R385" i="1"/>
  <c r="R311" i="1"/>
  <c r="R185" i="1"/>
  <c r="R76" i="1"/>
  <c r="R30" i="1"/>
  <c r="R16" i="1"/>
  <c r="O380" i="1"/>
  <c r="R380" i="1" s="1"/>
  <c r="O534" i="1"/>
  <c r="R534" i="1" s="1"/>
  <c r="O426" i="1"/>
  <c r="R426" i="1" s="1"/>
  <c r="S426" i="1" s="1"/>
  <c r="O620" i="1"/>
  <c r="R620" i="1" s="1"/>
  <c r="S620" i="1" s="1"/>
  <c r="O476" i="1"/>
  <c r="R476" i="1" s="1"/>
  <c r="O486" i="1"/>
  <c r="R486" i="1" s="1"/>
  <c r="S486" i="1" s="1"/>
  <c r="O718" i="1"/>
  <c r="R718" i="1" s="1"/>
  <c r="O343" i="1"/>
  <c r="R343" i="1" s="1"/>
  <c r="S343" i="1" s="1"/>
  <c r="O525" i="1"/>
  <c r="R525" i="1"/>
  <c r="O315" i="1"/>
  <c r="R315" i="1" s="1"/>
  <c r="O400" i="1"/>
  <c r="R400" i="1" s="1"/>
  <c r="O225" i="1"/>
  <c r="R225" i="1" s="1"/>
  <c r="R365" i="1"/>
  <c r="S365" i="1" s="1"/>
  <c r="R550" i="1"/>
  <c r="R411" i="1"/>
  <c r="R283" i="1"/>
  <c r="R543" i="1"/>
  <c r="R716" i="1"/>
  <c r="R466" i="1"/>
  <c r="R569" i="1"/>
  <c r="S569" i="1" s="1"/>
  <c r="R383" i="1"/>
  <c r="R461" i="1"/>
  <c r="R237" i="1"/>
  <c r="S237" i="1" s="1"/>
  <c r="R184" i="1"/>
  <c r="O352" i="1"/>
  <c r="R352" i="1" s="1"/>
  <c r="O379" i="1"/>
  <c r="R379" i="1" s="1"/>
  <c r="O442" i="1"/>
  <c r="R442" i="1" s="1"/>
  <c r="O577" i="1"/>
  <c r="R577" i="1" s="1"/>
  <c r="S577" i="1" s="1"/>
  <c r="O603" i="1"/>
  <c r="R603" i="1"/>
  <c r="S603" i="1" s="1"/>
  <c r="O375" i="1"/>
  <c r="R375" i="1" s="1"/>
  <c r="S375" i="1" s="1"/>
  <c r="O475" i="1"/>
  <c r="R475" i="1" s="1"/>
  <c r="O574" i="1"/>
  <c r="R574" i="1" s="1"/>
  <c r="O556" i="1"/>
  <c r="R556" i="1" s="1"/>
  <c r="O264" i="1"/>
  <c r="R264" i="1" s="1"/>
  <c r="O342" i="1"/>
  <c r="R342" i="1" s="1"/>
  <c r="O341" i="1"/>
  <c r="R341" i="1" s="1"/>
  <c r="O481" i="1"/>
  <c r="R481" i="1" s="1"/>
  <c r="R241" i="1"/>
  <c r="R460" i="1"/>
  <c r="R680" i="1"/>
  <c r="R618" i="1"/>
  <c r="R690" i="1"/>
  <c r="R598" i="1"/>
  <c r="R340" i="1"/>
  <c r="R236" i="1"/>
  <c r="R161" i="1"/>
  <c r="O590" i="1"/>
  <c r="R590" i="1"/>
  <c r="O490" i="1"/>
  <c r="R490" i="1" s="1"/>
  <c r="O589" i="1"/>
  <c r="R589" i="1" s="1"/>
  <c r="S589" i="1" s="1"/>
  <c r="O562" i="1"/>
  <c r="R562" i="1" s="1"/>
  <c r="S562" i="1" s="1"/>
  <c r="O586" i="1"/>
  <c r="R586" i="1" s="1"/>
  <c r="S586" i="1" s="1"/>
  <c r="O514" i="1"/>
  <c r="R514" i="1" s="1"/>
  <c r="S514" i="1" s="1"/>
  <c r="O425" i="1"/>
  <c r="R425" i="1" s="1"/>
  <c r="O374" i="1"/>
  <c r="R374" i="1" s="1"/>
  <c r="O692" i="1"/>
  <c r="R692" i="1" s="1"/>
  <c r="O452" i="1"/>
  <c r="R452" i="1" s="1"/>
  <c r="R268" i="1"/>
  <c r="O402" i="1"/>
  <c r="R402" i="1" s="1"/>
  <c r="S402" i="1" s="1"/>
  <c r="O625" i="1"/>
  <c r="R625" i="1" s="1"/>
  <c r="O670" i="1"/>
  <c r="R670" i="1" s="1"/>
  <c r="O182" i="1"/>
  <c r="R182" i="1" s="1"/>
  <c r="R622" i="1"/>
  <c r="R549" i="1"/>
  <c r="R393" i="1"/>
  <c r="R282" i="1"/>
  <c r="R613" i="1"/>
  <c r="S613" i="1" s="1"/>
  <c r="R345" i="1"/>
  <c r="R649" i="1"/>
  <c r="R389" i="1"/>
  <c r="S389" i="1" s="1"/>
  <c r="R266" i="1"/>
  <c r="R428" i="1"/>
  <c r="R210" i="1"/>
  <c r="S210" i="1" s="1"/>
  <c r="R142" i="1"/>
  <c r="S142" i="1" s="1"/>
  <c r="R169" i="1"/>
  <c r="O281" i="1"/>
  <c r="R281" i="1" s="1"/>
  <c r="S281" i="1" s="1"/>
  <c r="O698" i="1"/>
  <c r="R698" i="1" s="1"/>
  <c r="O175" i="1"/>
  <c r="R175" i="1" s="1"/>
  <c r="O45" i="1"/>
  <c r="R45" i="1" s="1"/>
  <c r="O85" i="1"/>
  <c r="R85" i="1" s="1"/>
  <c r="O37" i="1"/>
  <c r="R37" i="1" s="1"/>
  <c r="R533" i="1"/>
  <c r="R719" i="1"/>
  <c r="R624" i="1"/>
  <c r="O559" i="1"/>
  <c r="R559" i="1" s="1"/>
  <c r="O366" i="1"/>
  <c r="R366" i="1" s="1"/>
  <c r="R413" i="1"/>
  <c r="O271" i="1"/>
  <c r="R271" i="1" s="1"/>
  <c r="O249" i="1"/>
  <c r="R249" i="1" s="1"/>
  <c r="O87" i="1"/>
  <c r="R87" i="1" s="1"/>
  <c r="O136" i="1"/>
  <c r="R136" i="1" s="1"/>
  <c r="S136" i="1" s="1"/>
  <c r="O36" i="1"/>
  <c r="R36" i="1" s="1"/>
  <c r="R519" i="1"/>
  <c r="R615" i="1"/>
  <c r="R482" i="1"/>
  <c r="R713" i="1"/>
  <c r="R140" i="1"/>
  <c r="R180" i="1"/>
  <c r="R80" i="1"/>
  <c r="O722" i="1"/>
  <c r="R722" i="1" s="1"/>
  <c r="O568" i="1"/>
  <c r="R568" i="1" s="1"/>
  <c r="O414" i="1"/>
  <c r="R414" i="1" s="1"/>
  <c r="O126" i="1"/>
  <c r="R126" i="1" s="1"/>
  <c r="O64" i="1"/>
  <c r="R64" i="1" s="1"/>
  <c r="S64" i="1" s="1"/>
  <c r="O39" i="1"/>
  <c r="R39" i="1"/>
  <c r="O545" i="1"/>
  <c r="R545" i="1" s="1"/>
  <c r="S545" i="1" s="1"/>
  <c r="R357" i="1"/>
  <c r="O684" i="1"/>
  <c r="R684" i="1" s="1"/>
  <c r="O108" i="1"/>
  <c r="R108" i="1" s="1"/>
  <c r="O69" i="1"/>
  <c r="R69" i="1" s="1"/>
  <c r="S69" i="1" s="1"/>
  <c r="R221" i="1"/>
  <c r="O359" i="1"/>
  <c r="R359" i="1" s="1"/>
  <c r="S359" i="1" s="1"/>
  <c r="O274" i="1"/>
  <c r="R274" i="1" s="1"/>
  <c r="O248" i="1"/>
  <c r="R248" i="1" s="1"/>
  <c r="S248" i="1" s="1"/>
  <c r="O124" i="1"/>
  <c r="R124" i="1" s="1"/>
  <c r="S124" i="1" s="1"/>
  <c r="R285" i="1"/>
  <c r="R631" i="1"/>
  <c r="S631" i="1" s="1"/>
  <c r="R526" i="1"/>
  <c r="S526" i="1" s="1"/>
  <c r="R685" i="1"/>
  <c r="R134" i="1"/>
  <c r="R162" i="1"/>
  <c r="S162" i="1" s="1"/>
  <c r="R567" i="1"/>
  <c r="R199" i="1"/>
  <c r="R132" i="1"/>
  <c r="S132" i="1" s="1"/>
  <c r="R337" i="1"/>
  <c r="R256" i="1"/>
  <c r="R355" i="1"/>
  <c r="R508" i="1"/>
  <c r="S508" i="1" s="1"/>
  <c r="R198" i="1"/>
  <c r="R71" i="1"/>
  <c r="R616" i="1"/>
  <c r="R302" i="1"/>
  <c r="R195" i="1"/>
  <c r="S195" i="1" s="1"/>
  <c r="R167" i="1"/>
  <c r="S167" i="1" s="1"/>
  <c r="R307" i="1"/>
  <c r="R561" i="1"/>
  <c r="S561" i="1" s="1"/>
  <c r="R503" i="1"/>
  <c r="R433" i="1"/>
  <c r="S433" i="1" s="1"/>
  <c r="R702" i="1"/>
  <c r="R608" i="1"/>
  <c r="S608" i="1" s="1"/>
  <c r="R194" i="1"/>
  <c r="S194" i="1" s="1"/>
  <c r="R166" i="1"/>
  <c r="S166" i="1" s="1"/>
  <c r="R3" i="1"/>
  <c r="O511" i="1"/>
  <c r="R511" i="1" s="1"/>
  <c r="H127" i="1"/>
  <c r="H398" i="1"/>
  <c r="H346" i="1"/>
  <c r="H715" i="1"/>
  <c r="H55" i="1"/>
  <c r="H179" i="1"/>
  <c r="H647" i="1"/>
  <c r="H180" i="1"/>
  <c r="H249" i="1"/>
  <c r="H546" i="1"/>
  <c r="H560" i="1"/>
  <c r="H476" i="1"/>
  <c r="H600" i="1"/>
  <c r="H287" i="1"/>
  <c r="H710" i="1"/>
  <c r="H323" i="1"/>
  <c r="H475" i="1"/>
  <c r="H181" i="1"/>
  <c r="H351" i="1"/>
  <c r="H78" i="1"/>
  <c r="H701" i="1"/>
  <c r="H117" i="1"/>
  <c r="H242" i="1"/>
  <c r="H489" i="1"/>
  <c r="H692" i="1"/>
  <c r="H652" i="1"/>
  <c r="H238" i="1"/>
  <c r="H221" i="1"/>
  <c r="H483" i="1"/>
  <c r="H328" i="1"/>
  <c r="H551" i="1"/>
  <c r="H18" i="1"/>
  <c r="H639" i="1"/>
  <c r="H20" i="1"/>
  <c r="H662" i="1"/>
  <c r="H604" i="1"/>
  <c r="H139" i="1"/>
  <c r="H15" i="1"/>
  <c r="H669" i="1"/>
  <c r="H134" i="1"/>
  <c r="H549" i="1"/>
  <c r="H673" i="1"/>
  <c r="H6" i="1"/>
  <c r="H187" i="1"/>
  <c r="H457" i="1"/>
  <c r="H270" i="1"/>
  <c r="H188" i="1"/>
  <c r="H706" i="1"/>
  <c r="H629" i="1"/>
  <c r="H98" i="1"/>
  <c r="H42" i="1"/>
  <c r="H587" i="1"/>
  <c r="H25" i="1"/>
  <c r="H107" i="1"/>
  <c r="H427" i="1"/>
  <c r="H487" i="1"/>
  <c r="H138" i="1"/>
  <c r="H331" i="1"/>
  <c r="H634" i="1"/>
  <c r="H95" i="1"/>
  <c r="H708" i="1"/>
  <c r="H115" i="1"/>
  <c r="H177" i="1"/>
  <c r="H57" i="1"/>
  <c r="H382" i="1"/>
  <c r="H642" i="1"/>
  <c r="H316" i="1"/>
  <c r="H45" i="1"/>
  <c r="H698" i="1"/>
  <c r="H694" i="1"/>
  <c r="H50" i="1"/>
  <c r="H409" i="1"/>
  <c r="H191" i="1"/>
  <c r="H594" i="1"/>
  <c r="H8" i="1"/>
  <c r="H336" i="1"/>
  <c r="H294" i="1"/>
  <c r="H333" i="1"/>
  <c r="H154" i="1"/>
  <c r="H636" i="1"/>
  <c r="H624" i="1"/>
  <c r="H381" i="1"/>
  <c r="H114" i="1"/>
  <c r="H666" i="1"/>
  <c r="H574" i="1"/>
  <c r="H214" i="1"/>
  <c r="H285" i="1"/>
  <c r="H371" i="1"/>
  <c r="H225" i="1"/>
  <c r="H524" i="1"/>
  <c r="H567" i="1"/>
  <c r="H319" i="1"/>
  <c r="H403" i="1"/>
  <c r="H16" i="1"/>
  <c r="H125" i="1"/>
  <c r="H176" i="1"/>
  <c r="H151" i="1"/>
  <c r="H262" i="1"/>
  <c r="H367" i="1"/>
  <c r="H723" i="1"/>
  <c r="H10" i="1"/>
  <c r="H91" i="1"/>
  <c r="H267" i="1"/>
  <c r="H293" i="1"/>
  <c r="H626" i="1"/>
  <c r="H684" i="1"/>
  <c r="H122" i="1"/>
  <c r="H439" i="1"/>
  <c r="H48" i="1"/>
  <c r="H659" i="1"/>
  <c r="H416" i="1"/>
  <c r="H413" i="1"/>
  <c r="H202" i="1"/>
  <c r="H529" i="1"/>
  <c r="H581" i="1"/>
  <c r="H59" i="1"/>
  <c r="H172" i="1"/>
  <c r="H5" i="1"/>
  <c r="H19" i="1"/>
  <c r="H713" i="1"/>
  <c r="H232" i="1"/>
  <c r="H201" i="1"/>
  <c r="H422" i="1"/>
  <c r="S422" i="1" s="1"/>
  <c r="H96" i="1"/>
  <c r="H649" i="1"/>
  <c r="H297" i="1"/>
  <c r="H410" i="1"/>
  <c r="H369" i="1"/>
  <c r="H535" i="1"/>
  <c r="H99" i="1"/>
  <c r="H161" i="1"/>
  <c r="H541" i="1"/>
  <c r="H268" i="1"/>
  <c r="H400" i="1"/>
  <c r="H592" i="1"/>
  <c r="H137" i="1"/>
  <c r="H393" i="1"/>
  <c r="H641" i="1"/>
  <c r="H391" i="1"/>
  <c r="H357" i="1"/>
  <c r="H77" i="1"/>
  <c r="H341" i="1"/>
  <c r="H496" i="1"/>
  <c r="H204" i="1"/>
  <c r="H163" i="1"/>
  <c r="H458" i="1"/>
  <c r="H130" i="1"/>
  <c r="H14" i="1"/>
  <c r="H406" i="1"/>
  <c r="H332" i="1"/>
  <c r="H559" i="1"/>
  <c r="H169" i="1"/>
  <c r="H62" i="1"/>
  <c r="H110" i="1"/>
  <c r="H159" i="1"/>
  <c r="H250" i="1"/>
  <c r="H295" i="1"/>
  <c r="H612" i="1"/>
  <c r="H556" i="1"/>
  <c r="H431" i="1"/>
  <c r="H593" i="1"/>
  <c r="H61" i="1"/>
  <c r="H58" i="1"/>
  <c r="H722" i="1"/>
  <c r="H362" i="1"/>
  <c r="H455" i="1"/>
  <c r="H46" i="1"/>
  <c r="H372" i="1"/>
  <c r="H434" i="1"/>
  <c r="H447" i="1"/>
  <c r="H236" i="1"/>
  <c r="H460" i="1"/>
  <c r="H364" i="1"/>
  <c r="H681" i="1"/>
  <c r="H490" i="1"/>
  <c r="H718" i="1"/>
  <c r="H36" i="1"/>
  <c r="H596" i="1"/>
  <c r="H278" i="1"/>
  <c r="H274" i="1"/>
  <c r="H380" i="1"/>
  <c r="H534" i="1"/>
  <c r="H442" i="1"/>
  <c r="H109" i="1"/>
  <c r="H527" i="1"/>
  <c r="H658" i="1"/>
  <c r="H311" i="1"/>
  <c r="H646" i="1"/>
  <c r="H87" i="1"/>
  <c r="H244" i="1"/>
  <c r="H352" i="1"/>
  <c r="H379" i="1"/>
  <c r="H590" i="1"/>
  <c r="H321" i="1"/>
  <c r="H153" i="1"/>
  <c r="H108" i="1"/>
  <c r="H675" i="1"/>
  <c r="H611" i="1"/>
  <c r="H637" i="1"/>
  <c r="H512" i="1"/>
  <c r="H168" i="1"/>
  <c r="H383" i="1"/>
  <c r="H606" i="1"/>
  <c r="H720" i="1"/>
  <c r="H239" i="1"/>
  <c r="H397" i="1"/>
  <c r="H709" i="1"/>
  <c r="H493" i="1"/>
  <c r="H338" i="1"/>
  <c r="H147" i="1"/>
  <c r="H602" i="1"/>
  <c r="S602" i="1" s="1"/>
  <c r="H185" i="1"/>
  <c r="H216" i="1"/>
  <c r="H499" i="1"/>
  <c r="H661" i="1"/>
  <c r="H485" i="1"/>
  <c r="H289" i="1"/>
  <c r="H327" i="1"/>
  <c r="H80" i="1"/>
  <c r="H697" i="1"/>
  <c r="H622" i="1"/>
  <c r="H621" i="1"/>
  <c r="H396" i="1"/>
  <c r="H665" i="1"/>
  <c r="H374" i="1"/>
  <c r="H630" i="1"/>
  <c r="H425" i="1"/>
  <c r="H265" i="1"/>
  <c r="H705" i="1"/>
  <c r="H480" i="1"/>
  <c r="H550" i="1"/>
  <c r="H395" i="1"/>
  <c r="H532" i="1"/>
  <c r="H88" i="1"/>
  <c r="H615" i="1"/>
  <c r="H342" i="1"/>
  <c r="H540" i="1"/>
  <c r="H570" i="1"/>
  <c r="H607" i="1"/>
  <c r="H2" i="1"/>
  <c r="H521" i="1"/>
  <c r="H656" i="1"/>
  <c r="H565" i="1"/>
  <c r="H668" i="1"/>
  <c r="H282" i="1"/>
  <c r="H156" i="1"/>
  <c r="H85" i="1"/>
  <c r="H258" i="1"/>
  <c r="H141" i="1"/>
  <c r="H83" i="1"/>
  <c r="H17" i="1"/>
  <c r="H435" i="1"/>
  <c r="H467" i="1"/>
  <c r="H635" i="1"/>
  <c r="H537" i="1"/>
  <c r="H384" i="1"/>
  <c r="H462" i="1"/>
  <c r="H183" i="1"/>
  <c r="H152" i="1"/>
  <c r="H197" i="1"/>
  <c r="H547" i="1"/>
  <c r="H34" i="1"/>
  <c r="H450" i="1"/>
  <c r="H81" i="1"/>
  <c r="H598" i="1"/>
  <c r="H143" i="1"/>
  <c r="H660" i="1"/>
  <c r="H356" i="1"/>
  <c r="H509" i="1"/>
  <c r="H388" i="1"/>
  <c r="H415" i="1"/>
  <c r="H481" i="1"/>
  <c r="H353" i="1"/>
  <c r="H683" i="1"/>
  <c r="H190" i="1"/>
  <c r="H348" i="1"/>
  <c r="H454" i="1"/>
  <c r="H695" i="1"/>
  <c r="H528" i="1"/>
  <c r="S528" i="1" s="1"/>
  <c r="H599" i="1"/>
  <c r="H26" i="1"/>
  <c r="H302" i="1"/>
  <c r="H466" i="1"/>
  <c r="H301" i="1"/>
  <c r="H44" i="1"/>
  <c r="H116" i="1"/>
  <c r="H299" i="1"/>
  <c r="H444" i="1"/>
  <c r="H37" i="1"/>
  <c r="H645" i="1"/>
  <c r="H644" i="1"/>
  <c r="H339" i="1"/>
  <c r="H441" i="1"/>
  <c r="H373" i="1"/>
  <c r="H256" i="1"/>
  <c r="H126" i="1"/>
  <c r="H601" i="1"/>
  <c r="H616" i="1"/>
  <c r="H707" i="1"/>
  <c r="H253" i="1"/>
  <c r="H73" i="1"/>
  <c r="H640" i="1"/>
  <c r="H597" i="1"/>
  <c r="H314" i="1"/>
  <c r="H700" i="1"/>
  <c r="H129" i="1"/>
  <c r="H625" i="1"/>
  <c r="H47" i="1"/>
  <c r="H93" i="1"/>
  <c r="H148" i="1"/>
  <c r="H494" i="1"/>
  <c r="H272" i="1"/>
  <c r="H182" i="1"/>
  <c r="H251" i="1"/>
  <c r="H146" i="1"/>
  <c r="H196" i="1"/>
  <c r="H350" i="1"/>
  <c r="H412" i="1"/>
  <c r="H322" i="1"/>
  <c r="H678" i="1"/>
  <c r="H261" i="1"/>
  <c r="H307" i="1"/>
  <c r="H292" i="1"/>
  <c r="H144" i="1"/>
  <c r="H76" i="1"/>
  <c r="H305" i="1"/>
  <c r="H335" i="1"/>
  <c r="H345" i="1"/>
  <c r="H370" i="1"/>
  <c r="H627" i="1"/>
  <c r="H469" i="1"/>
  <c r="H234" i="1"/>
  <c r="H702" i="1"/>
  <c r="H714" i="1"/>
  <c r="S714" i="1" s="1"/>
  <c r="H385" i="1"/>
  <c r="H38" i="1"/>
  <c r="H670" i="1"/>
  <c r="H273" i="1"/>
  <c r="H495" i="1"/>
  <c r="H222" i="1"/>
  <c r="H193" i="1"/>
  <c r="H479" i="1"/>
  <c r="H377" i="1"/>
  <c r="H726" i="1"/>
  <c r="H376" i="1"/>
  <c r="H320" i="1"/>
  <c r="H690" i="1"/>
  <c r="H452" i="1"/>
  <c r="H349" i="1"/>
  <c r="H405" i="1"/>
  <c r="H306" i="1"/>
  <c r="H419" i="1"/>
  <c r="S419" i="1" s="1"/>
  <c r="H703" i="1"/>
  <c r="H112" i="1"/>
  <c r="H432" i="1"/>
  <c r="H417" i="1"/>
  <c r="H542" i="1"/>
  <c r="H430" i="1"/>
  <c r="H255" i="1"/>
  <c r="H463" i="1"/>
  <c r="H33" i="1"/>
  <c r="H312" i="1"/>
  <c r="H536" i="1"/>
  <c r="H131" i="1"/>
  <c r="H247" i="1"/>
  <c r="H218" i="1"/>
  <c r="H192" i="1"/>
  <c r="H310" i="1"/>
  <c r="H533" i="1"/>
  <c r="H411" i="1"/>
  <c r="H440" i="1"/>
  <c r="H337" i="1"/>
  <c r="H503" i="1"/>
  <c r="S503" i="1" s="1"/>
  <c r="H106" i="1"/>
  <c r="H284" i="1"/>
  <c r="H614" i="1"/>
  <c r="H704" i="1"/>
  <c r="H227" i="1"/>
  <c r="H543" i="1"/>
  <c r="H628" i="1"/>
  <c r="H584" i="1"/>
  <c r="H264" i="1"/>
  <c r="H103" i="1"/>
  <c r="H448" i="1"/>
  <c r="H449" i="1"/>
  <c r="H595" i="1"/>
  <c r="H572" i="1"/>
  <c r="H260" i="1"/>
  <c r="H686" i="1"/>
  <c r="H571" i="1"/>
  <c r="H28" i="1"/>
  <c r="H482" i="1"/>
  <c r="H355" i="1"/>
  <c r="H298" i="1"/>
  <c r="H461" i="1"/>
  <c r="H23" i="1"/>
  <c r="H140" i="1"/>
  <c r="H459" i="1"/>
  <c r="H519" i="1"/>
  <c r="H680" i="1"/>
  <c r="H506" i="1"/>
  <c r="S506" i="1" s="1"/>
  <c r="H504" i="1"/>
  <c r="H217" i="1"/>
  <c r="H102" i="1"/>
  <c r="H257" i="1"/>
  <c r="H317" i="1"/>
  <c r="H223" i="1"/>
  <c r="H407" i="1"/>
  <c r="H638" i="1"/>
  <c r="H500" i="1"/>
  <c r="H471" i="1"/>
  <c r="H224" i="1"/>
  <c r="H404" i="1"/>
  <c r="H553" i="1"/>
  <c r="H401" i="1"/>
  <c r="H71" i="1"/>
  <c r="H175" i="1"/>
  <c r="H552" i="1"/>
  <c r="H657" i="1"/>
  <c r="H414" i="1"/>
  <c r="H286" i="1"/>
  <c r="H11" i="1"/>
  <c r="H246" i="1"/>
  <c r="H215" i="1"/>
  <c r="H184" i="1"/>
  <c r="H164" i="1"/>
  <c r="H716" i="1"/>
  <c r="H133" i="1"/>
  <c r="H511" i="1"/>
  <c r="H498" i="1"/>
  <c r="H685" i="1"/>
  <c r="H65" i="1"/>
  <c r="H171" i="1"/>
  <c r="H4" i="1"/>
  <c r="H340" i="1"/>
  <c r="H507" i="1"/>
  <c r="H633" i="1"/>
  <c r="H271" i="1"/>
  <c r="H75" i="1"/>
  <c r="H30" i="1"/>
  <c r="H230" i="1"/>
  <c r="H206" i="1"/>
  <c r="H711" i="1"/>
  <c r="H378" i="1"/>
  <c r="H492" i="1"/>
  <c r="H643" i="1"/>
  <c r="H283" i="1"/>
  <c r="H564" i="1"/>
  <c r="H517" i="1"/>
  <c r="H424" i="1"/>
  <c r="H199" i="1"/>
  <c r="H92" i="1"/>
  <c r="H473" i="1"/>
  <c r="H149" i="1"/>
  <c r="H226" i="1"/>
  <c r="H719" i="1"/>
  <c r="H470" i="1"/>
  <c r="H501" i="1"/>
  <c r="H557" i="1"/>
  <c r="H390" i="1"/>
  <c r="H525" i="1"/>
  <c r="H497" i="1"/>
  <c r="H523" i="1"/>
  <c r="H329" i="1"/>
  <c r="H582" i="1"/>
  <c r="H3" i="1"/>
  <c r="H241" i="1"/>
  <c r="H266" i="1"/>
  <c r="H40" i="1"/>
  <c r="H231" i="1"/>
  <c r="H443" i="1"/>
  <c r="H428" i="1"/>
  <c r="H229" i="1"/>
  <c r="H205" i="1"/>
  <c r="H605" i="1"/>
  <c r="H655" i="1"/>
  <c r="H363" i="1"/>
  <c r="H308" i="1"/>
  <c r="H488" i="1"/>
  <c r="H618" i="1"/>
  <c r="H518" i="1"/>
  <c r="H29" i="1"/>
  <c r="H677" i="1"/>
  <c r="S677" i="1" s="1"/>
  <c r="H160" i="1"/>
  <c r="H421" i="1"/>
  <c r="H39" i="1"/>
  <c r="H573" i="1"/>
  <c r="H453" i="1"/>
  <c r="H90" i="1"/>
  <c r="H22" i="1"/>
  <c r="H53" i="1"/>
  <c r="H358" i="1"/>
  <c r="H280" i="1"/>
  <c r="H288" i="1"/>
  <c r="H123" i="1"/>
  <c r="H510" i="1"/>
  <c r="H386" i="1"/>
  <c r="H277" i="1"/>
  <c r="H315" i="1"/>
  <c r="H170" i="1"/>
  <c r="H67" i="1"/>
  <c r="H538" i="1"/>
  <c r="H366" i="1"/>
  <c r="H568" i="1"/>
  <c r="H579" i="1"/>
  <c r="H228" i="1"/>
  <c r="H49" i="1"/>
  <c r="H326" i="1"/>
  <c r="H158" i="1"/>
  <c r="H198" i="1"/>
  <c r="Z26" i="1"/>
  <c r="Z27" i="1"/>
  <c r="J275" i="1"/>
  <c r="I104" i="1"/>
  <c r="J104" i="1" s="1"/>
  <c r="J603" i="1"/>
  <c r="J41" i="1"/>
  <c r="J82" i="1"/>
  <c r="J254" i="1"/>
  <c r="J105" i="1"/>
  <c r="J617" i="1"/>
  <c r="J24" i="1"/>
  <c r="J150" i="1"/>
  <c r="J554" i="1"/>
  <c r="J505" i="1"/>
  <c r="J375" i="1"/>
  <c r="J389" i="1"/>
  <c r="J240" i="1"/>
  <c r="J589" i="1"/>
  <c r="J343" i="1"/>
  <c r="J620" i="1"/>
  <c r="J304" i="1"/>
  <c r="J162" i="1"/>
  <c r="J276" i="1"/>
  <c r="J35" i="1"/>
  <c r="J52" i="1"/>
  <c r="J682" i="1"/>
  <c r="J451" i="1"/>
  <c r="J631" i="1"/>
  <c r="J478" i="1"/>
  <c r="J724" i="1"/>
  <c r="J508" i="1"/>
  <c r="J155" i="1"/>
  <c r="J263" i="1"/>
  <c r="J189" i="1"/>
  <c r="J220" i="1"/>
  <c r="J210" i="1"/>
  <c r="J344" i="1"/>
  <c r="J84" i="1"/>
  <c r="J502" i="1"/>
  <c r="J632" i="1"/>
  <c r="J679" i="1"/>
  <c r="J207" i="1"/>
  <c r="J318" i="1"/>
  <c r="J474" i="1"/>
  <c r="J70" i="1"/>
  <c r="J465" i="1"/>
  <c r="J237" i="1"/>
  <c r="J303" i="1"/>
  <c r="J515" i="1"/>
  <c r="J235" i="1"/>
  <c r="J418" i="1"/>
  <c r="J420" i="1"/>
  <c r="J477" i="1"/>
  <c r="J209" i="1"/>
  <c r="J563" i="1"/>
  <c r="J399" i="1"/>
  <c r="J21" i="1"/>
  <c r="J583" i="1"/>
  <c r="J696" i="1"/>
  <c r="J101" i="1"/>
  <c r="J43" i="1"/>
  <c r="J394" i="1"/>
  <c r="J721" i="1"/>
  <c r="J687" i="1"/>
  <c r="J31" i="1"/>
  <c r="J111" i="1"/>
  <c r="J281" i="1"/>
  <c r="J94" i="1"/>
  <c r="J186" i="1"/>
  <c r="J86" i="1"/>
  <c r="Y27" i="1"/>
  <c r="S264" i="1" l="1"/>
  <c r="S340" i="1"/>
  <c r="S151" i="1"/>
  <c r="S236" i="1"/>
  <c r="S405" i="1"/>
  <c r="S332" i="1"/>
  <c r="S659" i="1"/>
  <c r="S517" i="1"/>
  <c r="S338" i="1"/>
  <c r="S265" i="1"/>
  <c r="S234" i="1"/>
  <c r="S18" i="1"/>
  <c r="AC18" i="1" s="1" a="1"/>
  <c r="AC18" i="1" s="1"/>
  <c r="S500" i="1"/>
  <c r="S148" i="1"/>
  <c r="S244" i="1"/>
  <c r="S272" i="1"/>
  <c r="S379" i="1"/>
  <c r="S306" i="1"/>
  <c r="S447" i="1"/>
  <c r="S158" i="1"/>
  <c r="S40" i="1"/>
  <c r="S629" i="1"/>
  <c r="S369" i="1"/>
  <c r="S466" i="1"/>
  <c r="S175" i="1"/>
  <c r="S172" i="1"/>
  <c r="S348" i="1"/>
  <c r="S428" i="1"/>
  <c r="S224" i="1"/>
  <c r="S482" i="1"/>
  <c r="S339" i="1"/>
  <c r="S395" i="1"/>
  <c r="S413" i="1"/>
  <c r="S319" i="1"/>
  <c r="S709" i="1"/>
  <c r="S443" i="1"/>
  <c r="S471" i="1"/>
  <c r="S644" i="1"/>
  <c r="S17" i="1"/>
  <c r="S416" i="1"/>
  <c r="S50" i="1"/>
  <c r="S341" i="1"/>
  <c r="S33" i="1"/>
  <c r="S271" i="1"/>
  <c r="S633" i="1"/>
  <c r="S670" i="1"/>
  <c r="S108" i="1"/>
  <c r="S198" i="1"/>
  <c r="S22" i="1"/>
  <c r="S424" i="1"/>
  <c r="S411" i="1"/>
  <c r="S99" i="1"/>
  <c r="S498" i="1"/>
  <c r="S483" i="1"/>
  <c r="S598" i="1"/>
  <c r="S206" i="1"/>
  <c r="S61" i="1"/>
  <c r="S91" i="1"/>
  <c r="S67" i="1"/>
  <c r="S286" i="1"/>
  <c r="S26" i="1"/>
  <c r="S10" i="1"/>
  <c r="S127" i="1"/>
  <c r="S170" i="1"/>
  <c r="S152" i="1"/>
  <c r="S637" i="1"/>
  <c r="S435" i="1"/>
  <c r="S587" i="1"/>
  <c r="S551" i="1"/>
  <c r="S388" i="1"/>
  <c r="S434" i="1"/>
  <c r="S329" i="1"/>
  <c r="S302" i="1"/>
  <c r="S381" i="1"/>
  <c r="S168" i="1"/>
  <c r="S463" i="1"/>
  <c r="S274" i="1"/>
  <c r="S501" i="1"/>
  <c r="S430" i="1"/>
  <c r="S273" i="1"/>
  <c r="S695" i="1"/>
  <c r="S611" i="1"/>
  <c r="S139" i="1"/>
  <c r="S685" i="1"/>
  <c r="S147" i="1"/>
  <c r="S524" i="1"/>
  <c r="S98" i="1"/>
  <c r="S90" i="1"/>
  <c r="S349" i="1"/>
  <c r="S453" i="1"/>
  <c r="S258" i="1"/>
  <c r="S439" i="1"/>
  <c r="S45" i="1"/>
  <c r="S221" i="1"/>
  <c r="S65" i="1"/>
  <c r="S582" i="1"/>
  <c r="S568" i="1"/>
  <c r="S597" i="1"/>
  <c r="S538" i="1"/>
  <c r="S497" i="1"/>
  <c r="S312" i="1"/>
  <c r="S640" i="1"/>
  <c r="S621" i="1"/>
  <c r="S115" i="1"/>
  <c r="S398" i="1"/>
  <c r="S525" i="1"/>
  <c r="S193" i="1"/>
  <c r="S414" i="1"/>
  <c r="S697" i="1"/>
  <c r="S512" i="1"/>
  <c r="S713" i="1"/>
  <c r="S636" i="1"/>
  <c r="S134" i="1"/>
  <c r="S78" i="1"/>
  <c r="AD13" i="1" a="1"/>
  <c r="AD13" i="1" s="1"/>
  <c r="S185" i="1"/>
  <c r="S161" i="1"/>
  <c r="AC20" i="1" s="1" a="1"/>
  <c r="AC20" i="1" s="1"/>
  <c r="S668" i="1"/>
  <c r="S29" i="1"/>
  <c r="S504" i="1"/>
  <c r="S479" i="1"/>
  <c r="S656" i="1"/>
  <c r="S383" i="1"/>
  <c r="S73" i="1"/>
  <c r="S622" i="1"/>
  <c r="S593" i="1"/>
  <c r="S708" i="1"/>
  <c r="S701" i="1"/>
  <c r="S315" i="1"/>
  <c r="S557" i="1"/>
  <c r="S519" i="1"/>
  <c r="S495" i="1"/>
  <c r="S707" i="1"/>
  <c r="S19" i="1"/>
  <c r="S154" i="1"/>
  <c r="S669" i="1"/>
  <c r="S164" i="1"/>
  <c r="S658" i="1"/>
  <c r="S160" i="1"/>
  <c r="S377" i="1"/>
  <c r="S450" i="1"/>
  <c r="S34" i="1"/>
  <c r="S534" i="1"/>
  <c r="S117" i="1"/>
  <c r="S230" i="1"/>
  <c r="S584" i="1"/>
  <c r="S261" i="1"/>
  <c r="S521" i="1"/>
  <c r="S77" i="1"/>
  <c r="S549" i="1"/>
  <c r="S459" i="1"/>
  <c r="S616" i="1"/>
  <c r="S327" i="1"/>
  <c r="S641" i="1"/>
  <c r="S5" i="1"/>
  <c r="S262" i="1"/>
  <c r="S95" i="1"/>
  <c r="S308" i="1"/>
  <c r="S15" i="1"/>
  <c r="S470" i="1"/>
  <c r="S675" i="1"/>
  <c r="S36" i="1"/>
  <c r="S510" i="1"/>
  <c r="S507" i="1"/>
  <c r="S23" i="1"/>
  <c r="AC11" i="1" s="1" a="1"/>
  <c r="AC11" i="1" s="1"/>
  <c r="S614" i="1"/>
  <c r="S417" i="1"/>
  <c r="S342" i="1"/>
  <c r="S176" i="1"/>
  <c r="S432" i="1"/>
  <c r="S153" i="1"/>
  <c r="S298" i="1"/>
  <c r="S112" i="1"/>
  <c r="S681" i="1"/>
  <c r="J27" i="1"/>
  <c r="S358" i="1"/>
  <c r="S541" i="1"/>
  <c r="S409" i="1"/>
  <c r="S476" i="1"/>
  <c r="S550" i="1"/>
  <c r="S42" i="1"/>
  <c r="S627" i="1"/>
  <c r="S645" i="1"/>
  <c r="S480" i="1"/>
  <c r="S37" i="1"/>
  <c r="S141" i="1"/>
  <c r="S48" i="1"/>
  <c r="S266" i="1"/>
  <c r="S14" i="1"/>
  <c r="S716" i="1"/>
  <c r="S192" i="1"/>
  <c r="S425" i="1"/>
  <c r="S46" i="1"/>
  <c r="S122" i="1"/>
  <c r="S228" i="1"/>
  <c r="S317" i="1"/>
  <c r="S595" i="1"/>
  <c r="S218" i="1"/>
  <c r="S305" i="1"/>
  <c r="S116" i="1"/>
  <c r="S143" i="1"/>
  <c r="S156" i="1"/>
  <c r="S630" i="1"/>
  <c r="S297" i="1"/>
  <c r="S684" i="1"/>
  <c r="S652" i="1"/>
  <c r="S11" i="1"/>
  <c r="S680" i="1"/>
  <c r="S253" i="1"/>
  <c r="S723" i="1"/>
  <c r="S364" i="1"/>
  <c r="S403" i="1"/>
  <c r="S481" i="1"/>
  <c r="S460" i="1"/>
  <c r="S53" i="1"/>
  <c r="S440" i="1"/>
  <c r="S469" i="1"/>
  <c r="S415" i="1"/>
  <c r="S352" i="1"/>
  <c r="S560" i="1"/>
  <c r="S231" i="1"/>
  <c r="S571" i="1"/>
  <c r="S511" i="1"/>
  <c r="S533" i="1"/>
  <c r="S535" i="1"/>
  <c r="S249" i="1"/>
  <c r="S260" i="1"/>
  <c r="S47" i="1"/>
  <c r="S646" i="1"/>
  <c r="S573" i="1"/>
  <c r="S85" i="1"/>
  <c r="S130" i="1"/>
  <c r="S238" i="1"/>
  <c r="S492" i="1"/>
  <c r="S649" i="1"/>
  <c r="S626" i="1"/>
  <c r="S457" i="1"/>
  <c r="S55" i="1"/>
  <c r="S222" i="1"/>
  <c r="S197" i="1"/>
  <c r="S607" i="1"/>
  <c r="S355" i="1"/>
  <c r="S92" i="1"/>
  <c r="S337" i="1"/>
  <c r="S169" i="1"/>
  <c r="S199" i="1"/>
  <c r="S28" i="1"/>
  <c r="S494" i="1"/>
  <c r="S567" i="1"/>
  <c r="S83" i="1"/>
  <c r="S694" i="1"/>
  <c r="S546" i="1"/>
  <c r="S686" i="1"/>
  <c r="S93" i="1"/>
  <c r="S225" i="1"/>
  <c r="S326" i="1"/>
  <c r="S310" i="1"/>
  <c r="S356" i="1"/>
  <c r="S493" i="1"/>
  <c r="S335" i="1"/>
  <c r="S311" i="1"/>
  <c r="S188" i="1"/>
  <c r="S109" i="1"/>
  <c r="S204" i="1"/>
  <c r="S293" i="1"/>
  <c r="S559" i="1"/>
  <c r="S328" i="1"/>
  <c r="S638" i="1"/>
  <c r="S370" i="1"/>
  <c r="S509" i="1"/>
  <c r="S705" i="1"/>
  <c r="S87" i="1"/>
  <c r="S406" i="1"/>
  <c r="S698" i="1"/>
  <c r="S564" i="1"/>
  <c r="S133" i="1"/>
  <c r="S407" i="1"/>
  <c r="S452" i="1"/>
  <c r="S345" i="1"/>
  <c r="S444" i="1"/>
  <c r="S372" i="1"/>
  <c r="S371" i="1"/>
  <c r="S706" i="1"/>
  <c r="S180" i="1"/>
  <c r="S49" i="1"/>
  <c r="S241" i="1"/>
  <c r="S283" i="1"/>
  <c r="S223" i="1"/>
  <c r="S572" i="1"/>
  <c r="S690" i="1"/>
  <c r="S625" i="1"/>
  <c r="S299" i="1"/>
  <c r="S660" i="1"/>
  <c r="S410" i="1"/>
  <c r="S285" i="1"/>
  <c r="S316" i="1"/>
  <c r="S647" i="1"/>
  <c r="S39" i="1"/>
  <c r="AC17" i="1" s="1" a="1"/>
  <c r="AC17" i="1" s="1"/>
  <c r="S3" i="1"/>
  <c r="S643" i="1"/>
  <c r="S320" i="1"/>
  <c r="S129" i="1"/>
  <c r="S397" i="1"/>
  <c r="S455" i="1"/>
  <c r="S458" i="1"/>
  <c r="S214" i="1"/>
  <c r="S642" i="1"/>
  <c r="S270" i="1"/>
  <c r="S179" i="1"/>
  <c r="S579" i="1"/>
  <c r="S421" i="1"/>
  <c r="S184" i="1"/>
  <c r="S257" i="1"/>
  <c r="S449" i="1"/>
  <c r="S247" i="1"/>
  <c r="S376" i="1"/>
  <c r="S76" i="1"/>
  <c r="AC15" i="1" s="1" a="1"/>
  <c r="AC15" i="1" s="1"/>
  <c r="S700" i="1"/>
  <c r="S44" i="1"/>
  <c r="S282" i="1"/>
  <c r="S374" i="1"/>
  <c r="S239" i="1"/>
  <c r="S527" i="1"/>
  <c r="S362" i="1"/>
  <c r="S163" i="1"/>
  <c r="AC19" i="1" s="1" a="1"/>
  <c r="AC19" i="1" s="1"/>
  <c r="S574" i="1"/>
  <c r="S382" i="1"/>
  <c r="S692" i="1"/>
  <c r="S378" i="1"/>
  <c r="S215" i="1"/>
  <c r="S102" i="1"/>
  <c r="S448" i="1"/>
  <c r="S131" i="1"/>
  <c r="S726" i="1"/>
  <c r="S144" i="1"/>
  <c r="S314" i="1"/>
  <c r="S301" i="1"/>
  <c r="S81" i="1"/>
  <c r="S665" i="1"/>
  <c r="S720" i="1"/>
  <c r="S722" i="1"/>
  <c r="S96" i="1"/>
  <c r="S666" i="1"/>
  <c r="S57" i="1"/>
  <c r="S187" i="1"/>
  <c r="S489" i="1"/>
  <c r="S715" i="1"/>
  <c r="S366" i="1"/>
  <c r="S523" i="1"/>
  <c r="S711" i="1"/>
  <c r="S246" i="1"/>
  <c r="S217" i="1"/>
  <c r="S103" i="1"/>
  <c r="S536" i="1"/>
  <c r="S292" i="1"/>
  <c r="S565" i="1"/>
  <c r="S396" i="1"/>
  <c r="S606" i="1"/>
  <c r="S442" i="1"/>
  <c r="S58" i="1"/>
  <c r="S496" i="1"/>
  <c r="S267" i="1"/>
  <c r="S114" i="1"/>
  <c r="S177" i="1"/>
  <c r="S6" i="1"/>
  <c r="S242" i="1"/>
  <c r="S346" i="1"/>
  <c r="S307" i="1"/>
  <c r="S518" i="1"/>
  <c r="S232" i="1"/>
  <c r="S624" i="1"/>
  <c r="S618" i="1"/>
  <c r="S30" i="1"/>
  <c r="S678" i="1"/>
  <c r="S599" i="1"/>
  <c r="S2" i="1"/>
  <c r="S357" i="1"/>
  <c r="S488" i="1"/>
  <c r="S75" i="1"/>
  <c r="S255" i="1"/>
  <c r="S322" i="1"/>
  <c r="S556" i="1"/>
  <c r="S634" i="1"/>
  <c r="S412" i="1"/>
  <c r="S570" i="1"/>
  <c r="S612" i="1"/>
  <c r="S331" i="1"/>
  <c r="S181" i="1"/>
  <c r="S386" i="1"/>
  <c r="S704" i="1"/>
  <c r="S350" i="1"/>
  <c r="S454" i="1"/>
  <c r="S540" i="1"/>
  <c r="S393" i="1"/>
  <c r="S138" i="1"/>
  <c r="S475" i="1"/>
  <c r="S719" i="1"/>
  <c r="S71" i="1"/>
  <c r="S38" i="1"/>
  <c r="S126" i="1"/>
  <c r="S384" i="1"/>
  <c r="S250" i="1"/>
  <c r="S59" i="1"/>
  <c r="S487" i="1"/>
  <c r="S662" i="1"/>
  <c r="S710" i="1"/>
  <c r="S288" i="1"/>
  <c r="S205" i="1"/>
  <c r="S149" i="1"/>
  <c r="S4" i="1"/>
  <c r="S553" i="1"/>
  <c r="S106" i="1"/>
  <c r="S251" i="1"/>
  <c r="S373" i="1"/>
  <c r="S683" i="1"/>
  <c r="S635" i="1"/>
  <c r="S88" i="1"/>
  <c r="S499" i="1"/>
  <c r="S321" i="1"/>
  <c r="S110" i="1"/>
  <c r="S400" i="1"/>
  <c r="S529" i="1"/>
  <c r="S16" i="1"/>
  <c r="S594" i="1"/>
  <c r="S107" i="1"/>
  <c r="S20" i="1"/>
  <c r="S287" i="1"/>
  <c r="S201" i="1"/>
  <c r="S673" i="1"/>
  <c r="S547" i="1"/>
  <c r="S380" i="1"/>
  <c r="S390" i="1"/>
  <c r="S628" i="1"/>
  <c r="S431" i="1"/>
  <c r="S657" i="1"/>
  <c r="S543" i="1"/>
  <c r="S80" i="1"/>
  <c r="S278" i="1"/>
  <c r="S391" i="1"/>
  <c r="S367" i="1"/>
  <c r="S351" i="1"/>
  <c r="S277" i="1"/>
  <c r="S552" i="1"/>
  <c r="S227" i="1"/>
  <c r="S183" i="1"/>
  <c r="S596" i="1"/>
  <c r="S333" i="1"/>
  <c r="S363" i="1"/>
  <c r="S140" i="1"/>
  <c r="S542" i="1"/>
  <c r="S601" i="1"/>
  <c r="S462" i="1"/>
  <c r="S289" i="1"/>
  <c r="S295" i="1"/>
  <c r="S294" i="1"/>
  <c r="S655" i="1"/>
  <c r="S196" i="1"/>
  <c r="S485" i="1"/>
  <c r="S718" i="1"/>
  <c r="S137" i="1"/>
  <c r="S336" i="1"/>
  <c r="S604" i="1"/>
  <c r="S323" i="1"/>
  <c r="S123" i="1"/>
  <c r="AC16" i="1" s="1" a="1"/>
  <c r="AC16" i="1" s="1"/>
  <c r="S605" i="1"/>
  <c r="S226" i="1"/>
  <c r="S401" i="1"/>
  <c r="S461" i="1"/>
  <c r="S284" i="1"/>
  <c r="S385" i="1"/>
  <c r="S146" i="1"/>
  <c r="S256" i="1"/>
  <c r="S190" i="1"/>
  <c r="S537" i="1"/>
  <c r="S615" i="1"/>
  <c r="S661" i="1"/>
  <c r="S490" i="1"/>
  <c r="S159" i="1"/>
  <c r="S592" i="1"/>
  <c r="S581" i="1"/>
  <c r="S125" i="1"/>
  <c r="S8" i="1"/>
  <c r="S427" i="1"/>
  <c r="S280" i="1"/>
  <c r="S229" i="1"/>
  <c r="S473" i="1"/>
  <c r="S171" i="1"/>
  <c r="S404" i="1"/>
  <c r="S703" i="1"/>
  <c r="S702" i="1"/>
  <c r="S182" i="1"/>
  <c r="S441" i="1"/>
  <c r="S353" i="1"/>
  <c r="S467" i="1"/>
  <c r="S532" i="1"/>
  <c r="S216" i="1"/>
  <c r="S590" i="1"/>
  <c r="S62" i="1"/>
  <c r="S268" i="1"/>
  <c r="S202" i="1"/>
  <c r="S191" i="1"/>
  <c r="S25" i="1"/>
  <c r="S639" i="1"/>
  <c r="S600" i="1"/>
  <c r="I280" i="1"/>
  <c r="J280" i="1" s="1"/>
  <c r="I473" i="1"/>
  <c r="J473" i="1" s="1"/>
  <c r="I404" i="1"/>
  <c r="J404" i="1" s="1"/>
  <c r="I503" i="1"/>
  <c r="J503" i="1" s="1"/>
  <c r="I702" i="1"/>
  <c r="J702" i="1" s="1"/>
  <c r="I441" i="1"/>
  <c r="J441" i="1" s="1"/>
  <c r="I467" i="1"/>
  <c r="J467" i="1" s="1"/>
  <c r="I532" i="1"/>
  <c r="J532" i="1" s="1"/>
  <c r="I229" i="1"/>
  <c r="J229" i="1" s="1"/>
  <c r="I171" i="1"/>
  <c r="J171" i="1" s="1"/>
  <c r="I355" i="1"/>
  <c r="J355" i="1" s="1"/>
  <c r="I703" i="1"/>
  <c r="J703" i="1" s="1"/>
  <c r="I182" i="1"/>
  <c r="J182" i="1" s="1"/>
  <c r="I353" i="1"/>
  <c r="J353" i="1" s="1"/>
  <c r="I216" i="1"/>
  <c r="J216" i="1" s="1"/>
  <c r="I364" i="1"/>
  <c r="J364" i="1" s="1"/>
  <c r="I202" i="1"/>
  <c r="J202" i="1" s="1"/>
  <c r="I191" i="1"/>
  <c r="J191" i="1" s="1"/>
  <c r="I600" i="1"/>
  <c r="J600" i="1" s="1"/>
  <c r="I65" i="1"/>
  <c r="J65" i="1" s="1"/>
  <c r="I419" i="1"/>
  <c r="J419" i="1" s="1"/>
  <c r="I481" i="1"/>
  <c r="J481" i="1" s="1"/>
  <c r="I379" i="1"/>
  <c r="J379" i="1" s="1"/>
  <c r="I541" i="1"/>
  <c r="J541" i="1" s="1"/>
  <c r="I319" i="1"/>
  <c r="J319" i="1" s="1"/>
  <c r="I18" i="1"/>
  <c r="J18" i="1" s="1"/>
  <c r="I443" i="1"/>
  <c r="J443" i="1" s="1"/>
  <c r="I471" i="1"/>
  <c r="J471" i="1" s="1"/>
  <c r="I469" i="1"/>
  <c r="J469" i="1" s="1"/>
  <c r="I415" i="1"/>
  <c r="J415" i="1" s="1"/>
  <c r="I602" i="1"/>
  <c r="J602" i="1" s="1"/>
  <c r="I559" i="1"/>
  <c r="J559" i="1" s="1"/>
  <c r="I416" i="1"/>
  <c r="J416" i="1" s="1"/>
  <c r="I50" i="1"/>
  <c r="J50" i="1" s="1"/>
  <c r="I560" i="1"/>
  <c r="J560" i="1" s="1"/>
  <c r="I424" i="1"/>
  <c r="J424" i="1" s="1"/>
  <c r="I411" i="1"/>
  <c r="J411" i="1" s="1"/>
  <c r="I388" i="1"/>
  <c r="J388" i="1" s="1"/>
  <c r="I244" i="1"/>
  <c r="J244" i="1" s="1"/>
  <c r="I659" i="1"/>
  <c r="J659" i="1" s="1"/>
  <c r="I98" i="1"/>
  <c r="J98" i="1" s="1"/>
  <c r="I158" i="1"/>
  <c r="J158" i="1" s="1"/>
  <c r="I511" i="1"/>
  <c r="J511" i="1" s="1"/>
  <c r="I370" i="1"/>
  <c r="J370" i="1" s="1"/>
  <c r="I705" i="1"/>
  <c r="J705" i="1" s="1"/>
  <c r="I225" i="1"/>
  <c r="J225" i="1" s="1"/>
  <c r="I453" i="1"/>
  <c r="J453" i="1" s="1"/>
  <c r="I407" i="1"/>
  <c r="J407" i="1" s="1"/>
  <c r="I452" i="1"/>
  <c r="J452" i="1" s="1"/>
  <c r="I444" i="1"/>
  <c r="J444" i="1" s="1"/>
  <c r="I265" i="1"/>
  <c r="J265" i="1" s="1"/>
  <c r="I372" i="1"/>
  <c r="J372" i="1" s="1"/>
  <c r="I439" i="1"/>
  <c r="J439" i="1" s="1"/>
  <c r="I706" i="1"/>
  <c r="J706" i="1" s="1"/>
  <c r="I241" i="1"/>
  <c r="J241" i="1" s="1"/>
  <c r="I572" i="1"/>
  <c r="J572" i="1" s="1"/>
  <c r="I625" i="1"/>
  <c r="J625" i="1" s="1"/>
  <c r="I425" i="1"/>
  <c r="J425" i="1" s="1"/>
  <c r="I130" i="1"/>
  <c r="J130" i="1" s="1"/>
  <c r="I316" i="1"/>
  <c r="J316" i="1" s="1"/>
  <c r="I39" i="1"/>
  <c r="J39" i="1" s="1"/>
  <c r="I164" i="1"/>
  <c r="J164" i="1" s="1"/>
  <c r="I595" i="1"/>
  <c r="J595" i="1" s="1"/>
  <c r="I320" i="1"/>
  <c r="J320" i="1" s="1"/>
  <c r="I129" i="1"/>
  <c r="J129" i="1" s="1"/>
  <c r="I143" i="1"/>
  <c r="J143" i="1" s="1"/>
  <c r="I630" i="1"/>
  <c r="J630" i="1" s="1"/>
  <c r="I455" i="1"/>
  <c r="J455" i="1" s="1"/>
  <c r="I458" i="1"/>
  <c r="J458" i="1" s="1"/>
  <c r="I214" i="1"/>
  <c r="J214" i="1" s="1"/>
  <c r="I270" i="1"/>
  <c r="J270" i="1" s="1"/>
  <c r="I247" i="1"/>
  <c r="J247" i="1" s="1"/>
  <c r="I44" i="1"/>
  <c r="J44" i="1" s="1"/>
  <c r="I527" i="1"/>
  <c r="J527" i="1" s="1"/>
  <c r="I626" i="1"/>
  <c r="J626" i="1" s="1"/>
  <c r="I692" i="1"/>
  <c r="J692" i="1" s="1"/>
  <c r="I378" i="1"/>
  <c r="J378" i="1" s="1"/>
  <c r="I131" i="1"/>
  <c r="J131" i="1" s="1"/>
  <c r="I301" i="1"/>
  <c r="J301" i="1" s="1"/>
  <c r="I722" i="1"/>
  <c r="J722" i="1" s="1"/>
  <c r="I187" i="1"/>
  <c r="J187" i="1" s="1"/>
  <c r="I366" i="1"/>
  <c r="J366" i="1" s="1"/>
  <c r="I523" i="1"/>
  <c r="J523" i="1" s="1"/>
  <c r="I246" i="1"/>
  <c r="J246" i="1" s="1"/>
  <c r="I103" i="1"/>
  <c r="J103" i="1" s="1"/>
  <c r="I377" i="1"/>
  <c r="J377" i="1" s="1"/>
  <c r="I597" i="1"/>
  <c r="J597" i="1" s="1"/>
  <c r="I450" i="1"/>
  <c r="J450" i="1" s="1"/>
  <c r="I396" i="1"/>
  <c r="J396" i="1" s="1"/>
  <c r="I442" i="1"/>
  <c r="J442" i="1" s="1"/>
  <c r="I496" i="1"/>
  <c r="J496" i="1" s="1"/>
  <c r="I114" i="1"/>
  <c r="J114" i="1" s="1"/>
  <c r="I242" i="1"/>
  <c r="J242" i="1" s="1"/>
  <c r="I206" i="1"/>
  <c r="J206" i="1" s="1"/>
  <c r="I312" i="1"/>
  <c r="J312" i="1" s="1"/>
  <c r="I640" i="1"/>
  <c r="J640" i="1" s="1"/>
  <c r="I302" i="1"/>
  <c r="J302" i="1" s="1"/>
  <c r="I656" i="1"/>
  <c r="J656" i="1" s="1"/>
  <c r="I383" i="1"/>
  <c r="J383" i="1" s="1"/>
  <c r="I61" i="1"/>
  <c r="J61" i="1" s="1"/>
  <c r="I91" i="1"/>
  <c r="J91" i="1" s="1"/>
  <c r="I115" i="1"/>
  <c r="J115" i="1" s="1"/>
  <c r="I398" i="1"/>
  <c r="J398" i="1" s="1"/>
  <c r="I525" i="1"/>
  <c r="J525" i="1" s="1"/>
  <c r="I506" i="1"/>
  <c r="J506" i="1" s="1"/>
  <c r="I261" i="1"/>
  <c r="J261" i="1" s="1"/>
  <c r="I521" i="1"/>
  <c r="J521" i="1" s="1"/>
  <c r="I593" i="1"/>
  <c r="J593" i="1" s="1"/>
  <c r="I624" i="1"/>
  <c r="J624" i="1" s="1"/>
  <c r="I127" i="1"/>
  <c r="J127" i="1" s="1"/>
  <c r="I30" i="1"/>
  <c r="J30" i="1" s="1"/>
  <c r="I628" i="1"/>
  <c r="J628" i="1" s="1"/>
  <c r="I678" i="1"/>
  <c r="J678" i="1" s="1"/>
  <c r="I197" i="1"/>
  <c r="J197" i="1" s="1"/>
  <c r="I512" i="1"/>
  <c r="J512" i="1" s="1"/>
  <c r="I357" i="1"/>
  <c r="J357" i="1" s="1"/>
  <c r="I636" i="1"/>
  <c r="J636" i="1" s="1"/>
  <c r="I315" i="1"/>
  <c r="J315" i="1" s="1"/>
  <c r="I657" i="1"/>
  <c r="J657" i="1" s="1"/>
  <c r="I255" i="1"/>
  <c r="J255" i="1" s="1"/>
  <c r="I322" i="1"/>
  <c r="J322" i="1" s="1"/>
  <c r="I152" i="1"/>
  <c r="I637" i="1"/>
  <c r="J637" i="1" s="1"/>
  <c r="I391" i="1"/>
  <c r="J391" i="1" s="1"/>
  <c r="I634" i="1"/>
  <c r="J634" i="1" s="1"/>
  <c r="I277" i="1"/>
  <c r="J277" i="1" s="1"/>
  <c r="I271" i="1"/>
  <c r="J271" i="1" s="1"/>
  <c r="I227" i="1"/>
  <c r="J227" i="1" s="1"/>
  <c r="I412" i="1"/>
  <c r="J412" i="1" s="1"/>
  <c r="I183" i="1"/>
  <c r="J183" i="1" s="1"/>
  <c r="I611" i="1"/>
  <c r="J611" i="1" s="1"/>
  <c r="I612" i="1"/>
  <c r="J612" i="1" s="1"/>
  <c r="I262" i="1"/>
  <c r="J262" i="1" s="1"/>
  <c r="I15" i="1"/>
  <c r="J15" i="1" s="1"/>
  <c r="I470" i="1"/>
  <c r="J470" i="1" s="1"/>
  <c r="I140" i="1"/>
  <c r="J140" i="1" s="1"/>
  <c r="I670" i="1"/>
  <c r="J670" i="1" s="1"/>
  <c r="I601" i="1"/>
  <c r="J601" i="1" s="1"/>
  <c r="I454" i="1"/>
  <c r="J454" i="1" s="1"/>
  <c r="I289" i="1"/>
  <c r="J289" i="1" s="1"/>
  <c r="I675" i="1"/>
  <c r="J675" i="1" s="1"/>
  <c r="I393" i="1"/>
  <c r="J393" i="1" s="1"/>
  <c r="I172" i="1"/>
  <c r="J172" i="1" s="1"/>
  <c r="I138" i="1"/>
  <c r="J138" i="1" s="1"/>
  <c r="I417" i="1"/>
  <c r="J417" i="1" s="1"/>
  <c r="I108" i="1"/>
  <c r="J108" i="1" s="1"/>
  <c r="I176" i="1"/>
  <c r="J176" i="1" s="1"/>
  <c r="I487" i="1"/>
  <c r="J487" i="1" s="1"/>
  <c r="I323" i="1"/>
  <c r="J323" i="1" s="1"/>
  <c r="I590" i="1"/>
  <c r="J590" i="1" s="1"/>
  <c r="I268" i="1"/>
  <c r="J268" i="1" s="1"/>
  <c r="I403" i="1"/>
  <c r="J403" i="1" s="1"/>
  <c r="I639" i="1"/>
  <c r="J639" i="1" s="1"/>
  <c r="I358" i="1"/>
  <c r="J358" i="1" s="1"/>
  <c r="I92" i="1"/>
  <c r="J92" i="1" s="1"/>
  <c r="I224" i="1"/>
  <c r="J224" i="1" s="1"/>
  <c r="I337" i="1"/>
  <c r="J337" i="1" s="1"/>
  <c r="I234" i="1"/>
  <c r="J234" i="1" s="1"/>
  <c r="I339" i="1"/>
  <c r="J339" i="1" s="1"/>
  <c r="I435" i="1"/>
  <c r="J435" i="1" s="1"/>
  <c r="I185" i="1"/>
  <c r="J185" i="1" s="1"/>
  <c r="I460" i="1"/>
  <c r="J460" i="1" s="1"/>
  <c r="I413" i="1"/>
  <c r="J413" i="1" s="1"/>
  <c r="I587" i="1"/>
  <c r="J587" i="1" s="1"/>
  <c r="I476" i="1"/>
  <c r="J476" i="1" s="1"/>
  <c r="I199" i="1"/>
  <c r="J199" i="1" s="1"/>
  <c r="I28" i="1"/>
  <c r="J28" i="1" s="1"/>
  <c r="I306" i="1"/>
  <c r="J306" i="1" s="1"/>
  <c r="I644" i="1"/>
  <c r="J644" i="1" s="1"/>
  <c r="I17" i="1"/>
  <c r="J17" i="1" s="1"/>
  <c r="I352" i="1"/>
  <c r="J352" i="1" s="1"/>
  <c r="I161" i="1"/>
  <c r="J161" i="1" s="1"/>
  <c r="I42" i="1"/>
  <c r="J42" i="1" s="1"/>
  <c r="I198" i="1"/>
  <c r="J198" i="1" s="1"/>
  <c r="I231" i="1"/>
  <c r="J231" i="1" s="1"/>
  <c r="I498" i="1"/>
  <c r="J498" i="1" s="1"/>
  <c r="I571" i="1"/>
  <c r="J571" i="1" s="1"/>
  <c r="I405" i="1"/>
  <c r="J405" i="1" s="1"/>
  <c r="I627" i="1"/>
  <c r="J627" i="1" s="1"/>
  <c r="I645" i="1"/>
  <c r="J645" i="1" s="1"/>
  <c r="I83" i="1"/>
  <c r="J83" i="1" s="1"/>
  <c r="I147" i="1"/>
  <c r="J147" i="1" s="1"/>
  <c r="I447" i="1"/>
  <c r="J447" i="1" s="1"/>
  <c r="I99" i="1"/>
  <c r="J99" i="1" s="1"/>
  <c r="I524" i="1"/>
  <c r="J524" i="1" s="1"/>
  <c r="I328" i="1"/>
  <c r="J328" i="1" s="1"/>
  <c r="I90" i="1"/>
  <c r="J90" i="1" s="1"/>
  <c r="I40" i="1"/>
  <c r="I638" i="1"/>
  <c r="J638" i="1" s="1"/>
  <c r="I686" i="1"/>
  <c r="J686" i="1" s="1"/>
  <c r="I349" i="1"/>
  <c r="J349" i="1" s="1"/>
  <c r="I93" i="1"/>
  <c r="J93" i="1" s="1"/>
  <c r="I37" i="1"/>
  <c r="J37" i="1" s="1"/>
  <c r="I141" i="1"/>
  <c r="J141" i="1" s="1"/>
  <c r="I338" i="1"/>
  <c r="J338" i="1" s="1"/>
  <c r="I434" i="1"/>
  <c r="J434" i="1" s="1"/>
  <c r="I406" i="1"/>
  <c r="J406" i="1" s="1"/>
  <c r="I48" i="1"/>
  <c r="J48" i="1" s="1"/>
  <c r="I698" i="1"/>
  <c r="J698" i="1" s="1"/>
  <c r="I483" i="1"/>
  <c r="J483" i="1" s="1"/>
  <c r="I249" i="1"/>
  <c r="J249" i="1" s="1"/>
  <c r="I326" i="1"/>
  <c r="J326" i="1" s="1"/>
  <c r="I266" i="1"/>
  <c r="J266" i="1" s="1"/>
  <c r="I133" i="1"/>
  <c r="J133" i="1" s="1"/>
  <c r="I260" i="1"/>
  <c r="J260" i="1" s="1"/>
  <c r="I345" i="1"/>
  <c r="J345" i="1" s="1"/>
  <c r="I356" i="1"/>
  <c r="J356" i="1" s="1"/>
  <c r="I493" i="1"/>
  <c r="J493" i="1" s="1"/>
  <c r="I14" i="1"/>
  <c r="J14" i="1" s="1"/>
  <c r="I371" i="1"/>
  <c r="J371" i="1" s="1"/>
  <c r="I221" i="1"/>
  <c r="J221" i="1" s="1"/>
  <c r="I573" i="1"/>
  <c r="J573" i="1" s="1"/>
  <c r="I283" i="1"/>
  <c r="J283" i="1" s="1"/>
  <c r="I223" i="1"/>
  <c r="J223" i="1" s="1"/>
  <c r="I192" i="1"/>
  <c r="J192" i="1" s="1"/>
  <c r="I335" i="1"/>
  <c r="J335" i="1" s="1"/>
  <c r="I299" i="1"/>
  <c r="J299" i="1" s="1"/>
  <c r="I85" i="1"/>
  <c r="J85" i="1" s="1"/>
  <c r="I709" i="1"/>
  <c r="J709" i="1" s="1"/>
  <c r="I46" i="1"/>
  <c r="J46" i="1" s="1"/>
  <c r="I410" i="1"/>
  <c r="J410" i="1" s="1"/>
  <c r="I285" i="1"/>
  <c r="J285" i="1" s="1"/>
  <c r="I188" i="1"/>
  <c r="J188" i="1" s="1"/>
  <c r="I647" i="1"/>
  <c r="J647" i="1" s="1"/>
  <c r="I228" i="1"/>
  <c r="J228" i="1" s="1"/>
  <c r="I643" i="1"/>
  <c r="J643" i="1" s="1"/>
  <c r="I218" i="1"/>
  <c r="J218" i="1" s="1"/>
  <c r="I116" i="1"/>
  <c r="J116" i="1" s="1"/>
  <c r="I397" i="1"/>
  <c r="J397" i="1" s="1"/>
  <c r="I684" i="1"/>
  <c r="J684" i="1" s="1"/>
  <c r="I179" i="1"/>
  <c r="J179" i="1" s="1"/>
  <c r="I579" i="1"/>
  <c r="J579" i="1" s="1"/>
  <c r="I582" i="1"/>
  <c r="J582" i="1" s="1"/>
  <c r="I492" i="1"/>
  <c r="J492" i="1" s="1"/>
  <c r="I184" i="1"/>
  <c r="J184" i="1" s="1"/>
  <c r="I449" i="1"/>
  <c r="J449" i="1" s="1"/>
  <c r="I376" i="1"/>
  <c r="J376" i="1" s="1"/>
  <c r="I700" i="1"/>
  <c r="J700" i="1" s="1"/>
  <c r="I598" i="1"/>
  <c r="J598" i="1" s="1"/>
  <c r="I374" i="1"/>
  <c r="J374" i="1" s="1"/>
  <c r="I239" i="1"/>
  <c r="J239" i="1" s="1"/>
  <c r="I163" i="1"/>
  <c r="J163" i="1" s="1"/>
  <c r="I649" i="1"/>
  <c r="J649" i="1" s="1"/>
  <c r="I382" i="1"/>
  <c r="J382" i="1" s="1"/>
  <c r="I457" i="1"/>
  <c r="J457" i="1" s="1"/>
  <c r="I568" i="1"/>
  <c r="J568" i="1" s="1"/>
  <c r="I329" i="1"/>
  <c r="J329" i="1" s="1"/>
  <c r="I215" i="1"/>
  <c r="J215" i="1" s="1"/>
  <c r="I448" i="1"/>
  <c r="J448" i="1" s="1"/>
  <c r="I726" i="1"/>
  <c r="J726" i="1" s="1"/>
  <c r="I314" i="1"/>
  <c r="J314" i="1" s="1"/>
  <c r="I668" i="1"/>
  <c r="J668" i="1" s="1"/>
  <c r="I665" i="1"/>
  <c r="J665" i="1" s="1"/>
  <c r="I109" i="1"/>
  <c r="J109" i="1" s="1"/>
  <c r="I204" i="1"/>
  <c r="J204" i="1" s="1"/>
  <c r="I293" i="1"/>
  <c r="J293" i="1" s="1"/>
  <c r="I57" i="1"/>
  <c r="J57" i="1" s="1"/>
  <c r="I715" i="1"/>
  <c r="J715" i="1" s="1"/>
  <c r="I677" i="1"/>
  <c r="J677" i="1" s="1"/>
  <c r="I217" i="1"/>
  <c r="J217" i="1" s="1"/>
  <c r="I292" i="1"/>
  <c r="J292" i="1" s="1"/>
  <c r="I565" i="1"/>
  <c r="J565" i="1" s="1"/>
  <c r="I58" i="1"/>
  <c r="J58" i="1" s="1"/>
  <c r="I267" i="1"/>
  <c r="J267" i="1" s="1"/>
  <c r="I177" i="1"/>
  <c r="J177" i="1" s="1"/>
  <c r="I346" i="1"/>
  <c r="J346" i="1" s="1"/>
  <c r="I538" i="1"/>
  <c r="J538" i="1" s="1"/>
  <c r="I497" i="1"/>
  <c r="J497" i="1" s="1"/>
  <c r="I504" i="1"/>
  <c r="J504" i="1" s="1"/>
  <c r="I479" i="1"/>
  <c r="J479" i="1" s="1"/>
  <c r="I34" i="1"/>
  <c r="J34" i="1" s="1"/>
  <c r="I534" i="1"/>
  <c r="J534" i="1" s="1"/>
  <c r="I341" i="1"/>
  <c r="J341" i="1" s="1"/>
  <c r="I381" i="1"/>
  <c r="J381" i="1" s="1"/>
  <c r="I117" i="1"/>
  <c r="J117" i="1" s="1"/>
  <c r="I67" i="1"/>
  <c r="J67" i="1" s="1"/>
  <c r="I230" i="1"/>
  <c r="J230" i="1" s="1"/>
  <c r="I33" i="1"/>
  <c r="J33" i="1" s="1"/>
  <c r="I73" i="1"/>
  <c r="J73" i="1" s="1"/>
  <c r="I622" i="1"/>
  <c r="J622" i="1" s="1"/>
  <c r="I77" i="1"/>
  <c r="J77" i="1" s="1"/>
  <c r="I549" i="1"/>
  <c r="J549" i="1" s="1"/>
  <c r="I170" i="1"/>
  <c r="J170" i="1" s="1"/>
  <c r="I390" i="1"/>
  <c r="J390" i="1" s="1"/>
  <c r="I680" i="1"/>
  <c r="J680" i="1" s="1"/>
  <c r="I222" i="1"/>
  <c r="J222" i="1" s="1"/>
  <c r="I599" i="1"/>
  <c r="J599" i="1" s="1"/>
  <c r="I697" i="1"/>
  <c r="J697" i="1" s="1"/>
  <c r="I431" i="1"/>
  <c r="J431" i="1" s="1"/>
  <c r="I723" i="1"/>
  <c r="J723" i="1" s="1"/>
  <c r="I134" i="1"/>
  <c r="J134" i="1" s="1"/>
  <c r="I488" i="1"/>
  <c r="J488" i="1" s="1"/>
  <c r="I75" i="1"/>
  <c r="J75" i="1" s="1"/>
  <c r="I543" i="1"/>
  <c r="J543" i="1" s="1"/>
  <c r="I495" i="1"/>
  <c r="J495" i="1" s="1"/>
  <c r="I528" i="1"/>
  <c r="J528" i="1" s="1"/>
  <c r="I80" i="1"/>
  <c r="J80" i="1" s="1"/>
  <c r="I556" i="1"/>
  <c r="J556" i="1" s="1"/>
  <c r="I19" i="1"/>
  <c r="J19" i="1" s="1"/>
  <c r="I154" i="1"/>
  <c r="J154" i="1" s="1"/>
  <c r="I669" i="1"/>
  <c r="J669" i="1" s="1"/>
  <c r="I308" i="1"/>
  <c r="J308" i="1" s="1"/>
  <c r="I552" i="1"/>
  <c r="J552" i="1" s="1"/>
  <c r="I273" i="1"/>
  <c r="J273" i="1" s="1"/>
  <c r="I695" i="1"/>
  <c r="J695" i="1" s="1"/>
  <c r="I327" i="1"/>
  <c r="J327" i="1" s="1"/>
  <c r="I641" i="1"/>
  <c r="J641" i="1" s="1"/>
  <c r="I333" i="1"/>
  <c r="J333" i="1" s="1"/>
  <c r="I386" i="1"/>
  <c r="J386" i="1" s="1"/>
  <c r="I363" i="1"/>
  <c r="J363" i="1" s="1"/>
  <c r="I175" i="1"/>
  <c r="J175" i="1" s="1"/>
  <c r="I704" i="1"/>
  <c r="J704" i="1" s="1"/>
  <c r="I350" i="1"/>
  <c r="J350" i="1" s="1"/>
  <c r="I540" i="1"/>
  <c r="J540" i="1" s="1"/>
  <c r="I295" i="1"/>
  <c r="J295" i="1" s="1"/>
  <c r="I294" i="1"/>
  <c r="J294" i="1" s="1"/>
  <c r="I475" i="1"/>
  <c r="J475" i="1" s="1"/>
  <c r="I510" i="1"/>
  <c r="J510" i="1" s="1"/>
  <c r="I719" i="1"/>
  <c r="J719" i="1" s="1"/>
  <c r="I507" i="1"/>
  <c r="J507" i="1" s="1"/>
  <c r="I71" i="1"/>
  <c r="J71" i="1" s="1"/>
  <c r="I614" i="1"/>
  <c r="J614" i="1" s="1"/>
  <c r="I38" i="1"/>
  <c r="J38" i="1" s="1"/>
  <c r="I196" i="1"/>
  <c r="J196" i="1" s="1"/>
  <c r="I126" i="1"/>
  <c r="J126" i="1" s="1"/>
  <c r="I348" i="1"/>
  <c r="J348" i="1" s="1"/>
  <c r="I342" i="1"/>
  <c r="J342" i="1" s="1"/>
  <c r="I485" i="1"/>
  <c r="J485" i="1" s="1"/>
  <c r="I718" i="1"/>
  <c r="J718" i="1" s="1"/>
  <c r="I250" i="1"/>
  <c r="J250" i="1" s="1"/>
  <c r="I137" i="1"/>
  <c r="J137" i="1" s="1"/>
  <c r="I59" i="1"/>
  <c r="J59" i="1" s="1"/>
  <c r="I336" i="1"/>
  <c r="J336" i="1" s="1"/>
  <c r="I604" i="1"/>
  <c r="J604" i="1" s="1"/>
  <c r="I123" i="1"/>
  <c r="J123" i="1" s="1"/>
  <c r="I461" i="1"/>
  <c r="J461" i="1" s="1"/>
  <c r="I432" i="1"/>
  <c r="J432" i="1" s="1"/>
  <c r="I146" i="1"/>
  <c r="J146" i="1" s="1"/>
  <c r="I256" i="1"/>
  <c r="J256" i="1" s="1"/>
  <c r="I190" i="1"/>
  <c r="J190" i="1" s="1"/>
  <c r="I615" i="1"/>
  <c r="J615" i="1" s="1"/>
  <c r="I661" i="1"/>
  <c r="J661" i="1" s="1"/>
  <c r="I153" i="1"/>
  <c r="J153" i="1" s="1"/>
  <c r="I490" i="1"/>
  <c r="J490" i="1" s="1"/>
  <c r="I159" i="1"/>
  <c r="J159" i="1" s="1"/>
  <c r="I592" i="1"/>
  <c r="J592" i="1" s="1"/>
  <c r="I581" i="1"/>
  <c r="J581" i="1" s="1"/>
  <c r="I125" i="1"/>
  <c r="J125" i="1" s="1"/>
  <c r="I8" i="1"/>
  <c r="J8" i="1" s="1"/>
  <c r="I427" i="1"/>
  <c r="J427" i="1" s="1"/>
  <c r="I662" i="1"/>
  <c r="J662" i="1" s="1"/>
  <c r="I710" i="1"/>
  <c r="J710" i="1" s="1"/>
  <c r="I62" i="1"/>
  <c r="J62" i="1" s="1"/>
  <c r="I25" i="1"/>
  <c r="J25" i="1" s="1"/>
  <c r="I428" i="1"/>
  <c r="J428" i="1" s="1"/>
  <c r="I482" i="1"/>
  <c r="J482" i="1" s="1"/>
  <c r="I272" i="1"/>
  <c r="J272" i="1" s="1"/>
  <c r="I395" i="1"/>
  <c r="J395" i="1" s="1"/>
  <c r="I169" i="1"/>
  <c r="J169" i="1" s="1"/>
  <c r="I409" i="1"/>
  <c r="J409" i="1" s="1"/>
  <c r="I53" i="1"/>
  <c r="J53" i="1" s="1"/>
  <c r="I685" i="1"/>
  <c r="J685" i="1" s="1"/>
  <c r="I440" i="1"/>
  <c r="J440" i="1" s="1"/>
  <c r="I494" i="1"/>
  <c r="J494" i="1" s="1"/>
  <c r="I550" i="1"/>
  <c r="J550" i="1" s="1"/>
  <c r="I236" i="1"/>
  <c r="J236" i="1" s="1"/>
  <c r="I567" i="1"/>
  <c r="J567" i="1" s="1"/>
  <c r="I551" i="1"/>
  <c r="J551" i="1" s="1"/>
  <c r="I22" i="1"/>
  <c r="J22" i="1" s="1"/>
  <c r="I500" i="1"/>
  <c r="J500" i="1" s="1"/>
  <c r="I148" i="1"/>
  <c r="J148" i="1" s="1"/>
  <c r="I480" i="1"/>
  <c r="J480" i="1" s="1"/>
  <c r="I332" i="1"/>
  <c r="J332" i="1" s="1"/>
  <c r="I694" i="1"/>
  <c r="J694" i="1" s="1"/>
  <c r="I546" i="1"/>
  <c r="J546" i="1" s="1"/>
  <c r="I517" i="1"/>
  <c r="J517" i="1" s="1"/>
  <c r="I533" i="1"/>
  <c r="J533" i="1" s="1"/>
  <c r="I509" i="1"/>
  <c r="J509" i="1" s="1"/>
  <c r="I87" i="1"/>
  <c r="J87" i="1" s="1"/>
  <c r="I535" i="1"/>
  <c r="J535" i="1" s="1"/>
  <c r="I629" i="1"/>
  <c r="J629" i="1" s="1"/>
  <c r="I564" i="1"/>
  <c r="J564" i="1" s="1"/>
  <c r="I310" i="1"/>
  <c r="J310" i="1" s="1"/>
  <c r="I47" i="1"/>
  <c r="J47" i="1" s="1"/>
  <c r="I258" i="1"/>
  <c r="J258" i="1" s="1"/>
  <c r="I646" i="1"/>
  <c r="J646" i="1" s="1"/>
  <c r="I369" i="1"/>
  <c r="J369" i="1" s="1"/>
  <c r="I45" i="1"/>
  <c r="J45" i="1" s="1"/>
  <c r="I180" i="1"/>
  <c r="J180" i="1" s="1"/>
  <c r="I49" i="1"/>
  <c r="J49" i="1" s="1"/>
  <c r="I716" i="1"/>
  <c r="J716" i="1" s="1"/>
  <c r="I690" i="1"/>
  <c r="J690" i="1" s="1"/>
  <c r="I660" i="1"/>
  <c r="J660" i="1" s="1"/>
  <c r="I311" i="1"/>
  <c r="J311" i="1" s="1"/>
  <c r="I122" i="1"/>
  <c r="J122" i="1" s="1"/>
  <c r="I238" i="1"/>
  <c r="J238" i="1" s="1"/>
  <c r="I3" i="1"/>
  <c r="J3" i="1" s="1"/>
  <c r="I317" i="1"/>
  <c r="J317" i="1" s="1"/>
  <c r="I305" i="1"/>
  <c r="J305" i="1" s="1"/>
  <c r="I156" i="1"/>
  <c r="J156" i="1" s="1"/>
  <c r="I658" i="1"/>
  <c r="J658" i="1" s="1"/>
  <c r="I297" i="1"/>
  <c r="J297" i="1" s="1"/>
  <c r="I642" i="1"/>
  <c r="J642" i="1" s="1"/>
  <c r="I652" i="1"/>
  <c r="J652" i="1" s="1"/>
  <c r="I421" i="1"/>
  <c r="J421" i="1" s="1"/>
  <c r="I257" i="1"/>
  <c r="J257" i="1" s="1"/>
  <c r="I76" i="1"/>
  <c r="J76" i="1" s="1"/>
  <c r="I282" i="1"/>
  <c r="J282" i="1" s="1"/>
  <c r="I362" i="1"/>
  <c r="J362" i="1" s="1"/>
  <c r="I574" i="1"/>
  <c r="J574" i="1" s="1"/>
  <c r="I55" i="1"/>
  <c r="J55" i="1" s="1"/>
  <c r="I160" i="1"/>
  <c r="J160" i="1" s="1"/>
  <c r="I102" i="1"/>
  <c r="J102" i="1" s="1"/>
  <c r="I144" i="1"/>
  <c r="J144" i="1" s="1"/>
  <c r="I81" i="1"/>
  <c r="J81" i="1" s="1"/>
  <c r="I720" i="1"/>
  <c r="J720" i="1" s="1"/>
  <c r="I96" i="1"/>
  <c r="J96" i="1" s="1"/>
  <c r="I666" i="1"/>
  <c r="J666" i="1" s="1"/>
  <c r="I489" i="1"/>
  <c r="J489" i="1" s="1"/>
  <c r="I711" i="1"/>
  <c r="J711" i="1" s="1"/>
  <c r="I536" i="1"/>
  <c r="J536" i="1" s="1"/>
  <c r="I466" i="1"/>
  <c r="J466" i="1" s="1"/>
  <c r="I606" i="1"/>
  <c r="J606" i="1" s="1"/>
  <c r="I422" i="1"/>
  <c r="J422" i="1" s="1"/>
  <c r="I6" i="1"/>
  <c r="J6" i="1" s="1"/>
  <c r="I29" i="1"/>
  <c r="J29" i="1" s="1"/>
  <c r="I11" i="1"/>
  <c r="J11" i="1" s="1"/>
  <c r="I264" i="1"/>
  <c r="J264" i="1" s="1"/>
  <c r="I307" i="1"/>
  <c r="J307" i="1" s="1"/>
  <c r="I621" i="1"/>
  <c r="J621" i="1" s="1"/>
  <c r="I201" i="1"/>
  <c r="J201" i="1" s="1"/>
  <c r="I673" i="1"/>
  <c r="J673" i="1" s="1"/>
  <c r="I518" i="1"/>
  <c r="J518" i="1" s="1"/>
  <c r="I286" i="1"/>
  <c r="J286" i="1" s="1"/>
  <c r="I584" i="1"/>
  <c r="J584" i="1" s="1"/>
  <c r="I193" i="1"/>
  <c r="J193" i="1" s="1"/>
  <c r="I26" i="1"/>
  <c r="I547" i="1"/>
  <c r="J547" i="1" s="1"/>
  <c r="I168" i="1"/>
  <c r="J168" i="1" s="1"/>
  <c r="I380" i="1"/>
  <c r="J380" i="1" s="1"/>
  <c r="I232" i="1"/>
  <c r="J232" i="1" s="1"/>
  <c r="I10" i="1"/>
  <c r="J10" i="1" s="1"/>
  <c r="I708" i="1"/>
  <c r="J708" i="1" s="1"/>
  <c r="I701" i="1"/>
  <c r="J701" i="1" s="1"/>
  <c r="I618" i="1"/>
  <c r="J618" i="1" s="1"/>
  <c r="I414" i="1"/>
  <c r="J414" i="1" s="1"/>
  <c r="I463" i="1"/>
  <c r="J463" i="1" s="1"/>
  <c r="I253" i="1"/>
  <c r="J253" i="1" s="1"/>
  <c r="I2" i="1"/>
  <c r="J2" i="1" s="1"/>
  <c r="I274" i="1"/>
  <c r="J274" i="1" s="1"/>
  <c r="I713" i="1"/>
  <c r="J713" i="1" s="1"/>
  <c r="I95" i="1"/>
  <c r="J95" i="1" s="1"/>
  <c r="I78" i="1"/>
  <c r="J78" i="1" s="1"/>
  <c r="I557" i="1"/>
  <c r="J557" i="1" s="1"/>
  <c r="I519" i="1"/>
  <c r="J519" i="1" s="1"/>
  <c r="I707" i="1"/>
  <c r="J707" i="1" s="1"/>
  <c r="I607" i="1"/>
  <c r="J607" i="1" s="1"/>
  <c r="I278" i="1"/>
  <c r="J278" i="1" s="1"/>
  <c r="I367" i="1"/>
  <c r="J367" i="1" s="1"/>
  <c r="I351" i="1"/>
  <c r="J351" i="1" s="1"/>
  <c r="I501" i="1"/>
  <c r="J501" i="1" s="1"/>
  <c r="I459" i="1"/>
  <c r="J459" i="1" s="1"/>
  <c r="I430" i="1"/>
  <c r="J430" i="1" s="1"/>
  <c r="I616" i="1"/>
  <c r="J616" i="1" s="1"/>
  <c r="I570" i="1"/>
  <c r="J570" i="1" s="1"/>
  <c r="I596" i="1"/>
  <c r="J596" i="1" s="1"/>
  <c r="I5" i="1"/>
  <c r="J5" i="1" s="1"/>
  <c r="I331" i="1"/>
  <c r="J331" i="1" s="1"/>
  <c r="I181" i="1"/>
  <c r="J181" i="1" s="1"/>
  <c r="I633" i="1"/>
  <c r="J633" i="1" s="1"/>
  <c r="I542" i="1"/>
  <c r="J542" i="1" s="1"/>
  <c r="I462" i="1"/>
  <c r="J462" i="1" s="1"/>
  <c r="I36" i="1"/>
  <c r="AD14" i="1" s="1" a="1"/>
  <c r="AD14" i="1" s="1"/>
  <c r="I151" i="1"/>
  <c r="J151" i="1" s="1"/>
  <c r="I139" i="1"/>
  <c r="J139" i="1" s="1"/>
  <c r="I655" i="1"/>
  <c r="J655" i="1" s="1"/>
  <c r="I23" i="1"/>
  <c r="J23" i="1" s="1"/>
  <c r="I384" i="1"/>
  <c r="J384" i="1" s="1"/>
  <c r="I605" i="1"/>
  <c r="J605" i="1" s="1"/>
  <c r="I226" i="1"/>
  <c r="J226" i="1" s="1"/>
  <c r="I340" i="1"/>
  <c r="J340" i="1" s="1"/>
  <c r="I401" i="1"/>
  <c r="J401" i="1" s="1"/>
  <c r="I284" i="1"/>
  <c r="J284" i="1" s="1"/>
  <c r="I385" i="1"/>
  <c r="J385" i="1" s="1"/>
  <c r="I537" i="1"/>
  <c r="J537" i="1" s="1"/>
  <c r="I288" i="1"/>
  <c r="J288" i="1" s="1"/>
  <c r="I205" i="1"/>
  <c r="J205" i="1" s="1"/>
  <c r="I149" i="1"/>
  <c r="J149" i="1" s="1"/>
  <c r="I4" i="1"/>
  <c r="J4" i="1" s="1"/>
  <c r="I553" i="1"/>
  <c r="J553" i="1" s="1"/>
  <c r="I298" i="1"/>
  <c r="J298" i="1" s="1"/>
  <c r="I106" i="1"/>
  <c r="J106" i="1" s="1"/>
  <c r="I112" i="1"/>
  <c r="J112" i="1" s="1"/>
  <c r="I714" i="1"/>
  <c r="J714" i="1" s="1"/>
  <c r="I251" i="1"/>
  <c r="J251" i="1" s="1"/>
  <c r="I373" i="1"/>
  <c r="J373" i="1" s="1"/>
  <c r="I683" i="1"/>
  <c r="J683" i="1" s="1"/>
  <c r="I635" i="1"/>
  <c r="J635" i="1" s="1"/>
  <c r="I88" i="1"/>
  <c r="J88" i="1" s="1"/>
  <c r="I499" i="1"/>
  <c r="J499" i="1" s="1"/>
  <c r="I321" i="1"/>
  <c r="J321" i="1" s="1"/>
  <c r="I681" i="1"/>
  <c r="J681" i="1" s="1"/>
  <c r="I110" i="1"/>
  <c r="J110" i="1" s="1"/>
  <c r="I400" i="1"/>
  <c r="J400" i="1" s="1"/>
  <c r="I529" i="1"/>
  <c r="J529" i="1" s="1"/>
  <c r="I16" i="1"/>
  <c r="J16" i="1" s="1"/>
  <c r="I594" i="1"/>
  <c r="J594" i="1" s="1"/>
  <c r="I107" i="1"/>
  <c r="J107" i="1" s="1"/>
  <c r="I20" i="1"/>
  <c r="J20" i="1" s="1"/>
  <c r="I287" i="1"/>
  <c r="J287" i="1" s="1"/>
  <c r="AD11" i="1" a="1"/>
  <c r="AD11" i="1" s="1"/>
  <c r="AD19" i="1" l="1" a="1"/>
  <c r="AD19" i="1" s="1"/>
  <c r="AD16" i="1" a="1"/>
  <c r="AD16" i="1" s="1"/>
  <c r="AC12" i="1" a="1"/>
  <c r="AC12" i="1" s="1"/>
  <c r="AC14" i="1" a="1"/>
  <c r="AC14" i="1" s="1"/>
  <c r="AD15" i="1" a="1"/>
  <c r="AD15" i="1" s="1"/>
  <c r="J152" i="1"/>
  <c r="AD12" i="1" a="1"/>
  <c r="AD12" i="1" s="1"/>
  <c r="Y7" i="1"/>
  <c r="AB7" i="1" s="1"/>
  <c r="AD20" i="1" a="1"/>
  <c r="AD20" i="1" s="1"/>
  <c r="Y2" i="1"/>
  <c r="AB2" i="1" s="1"/>
  <c r="K228" i="1" s="1"/>
  <c r="M228" i="1" s="1"/>
  <c r="N228" i="1" s="1"/>
  <c r="U228" i="1" s="1"/>
  <c r="J36" i="1"/>
  <c r="Y4" i="1" s="1"/>
  <c r="AB4" i="1" s="1"/>
  <c r="Y6" i="1"/>
  <c r="AB6" i="1" s="1"/>
  <c r="K120" i="1" s="1"/>
  <c r="M120" i="1" s="1"/>
  <c r="N120" i="1" s="1"/>
  <c r="U120" i="1" s="1"/>
  <c r="J26" i="1"/>
  <c r="Y5" i="1" s="1"/>
  <c r="AB5" i="1" s="1"/>
  <c r="J40" i="1"/>
  <c r="Y3" i="1" s="1"/>
  <c r="AD17" i="1" a="1"/>
  <c r="AD17" i="1" s="1"/>
  <c r="AD18" i="1" a="1"/>
  <c r="AD18" i="1" s="1"/>
  <c r="K244" i="1" l="1"/>
  <c r="M244" i="1" s="1"/>
  <c r="K669" i="1"/>
  <c r="M669" i="1" s="1"/>
  <c r="N669" i="1" s="1"/>
  <c r="U669" i="1" s="1"/>
  <c r="K23" i="1"/>
  <c r="M23" i="1" s="1"/>
  <c r="N23" i="1" s="1"/>
  <c r="U23" i="1" s="1"/>
  <c r="K713" i="1"/>
  <c r="M713" i="1" s="1"/>
  <c r="N713" i="1" s="1"/>
  <c r="U713" i="1" s="1"/>
  <c r="K180" i="1"/>
  <c r="M180" i="1" s="1"/>
  <c r="L180" i="1" s="1"/>
  <c r="K579" i="1"/>
  <c r="M579" i="1" s="1"/>
  <c r="K312" i="1"/>
  <c r="M312" i="1" s="1"/>
  <c r="N312" i="1" s="1"/>
  <c r="U312" i="1" s="1"/>
  <c r="K146" i="1"/>
  <c r="M146" i="1" s="1"/>
  <c r="N146" i="1" s="1"/>
  <c r="U146" i="1" s="1"/>
  <c r="K606" i="1"/>
  <c r="M606" i="1" s="1"/>
  <c r="K445" i="1"/>
  <c r="M445" i="1" s="1"/>
  <c r="K298" i="1"/>
  <c r="M298" i="1" s="1"/>
  <c r="K87" i="1"/>
  <c r="M87" i="1" s="1"/>
  <c r="K366" i="1"/>
  <c r="M366" i="1" s="1"/>
  <c r="K75" i="1"/>
  <c r="M75" i="1" s="1"/>
  <c r="K521" i="1"/>
  <c r="M521" i="1" s="1"/>
  <c r="K340" i="1"/>
  <c r="M340" i="1" s="1"/>
  <c r="K182" i="1"/>
  <c r="M182" i="1" s="1"/>
  <c r="K552" i="1"/>
  <c r="M552" i="1" s="1"/>
  <c r="K111" i="1"/>
  <c r="M111" i="1" s="1"/>
  <c r="K275" i="1"/>
  <c r="M275" i="1" s="1"/>
  <c r="K80" i="1"/>
  <c r="M80" i="1" s="1"/>
  <c r="K607" i="1"/>
  <c r="M607" i="1" s="1"/>
  <c r="K657" i="1"/>
  <c r="M657" i="1" s="1"/>
  <c r="K481" i="1"/>
  <c r="M481" i="1" s="1"/>
  <c r="L481" i="1" s="1"/>
  <c r="K429" i="1"/>
  <c r="M429" i="1" s="1"/>
  <c r="K647" i="1"/>
  <c r="M647" i="1" s="1"/>
  <c r="K118" i="1"/>
  <c r="M118" i="1" s="1"/>
  <c r="K634" i="1"/>
  <c r="M634" i="1" s="1"/>
  <c r="N634" i="1" s="1"/>
  <c r="U634" i="1" s="1"/>
  <c r="K592" i="1"/>
  <c r="M592" i="1" s="1"/>
  <c r="K415" i="1"/>
  <c r="M415" i="1" s="1"/>
  <c r="K183" i="1"/>
  <c r="M183" i="1" s="1"/>
  <c r="N183" i="1" s="1"/>
  <c r="U183" i="1" s="1"/>
  <c r="K710" i="1"/>
  <c r="M710" i="1" s="1"/>
  <c r="K442" i="1"/>
  <c r="M442" i="1" s="1"/>
  <c r="K395" i="1"/>
  <c r="M395" i="1" s="1"/>
  <c r="K655" i="1"/>
  <c r="M655" i="1" s="1"/>
  <c r="K310" i="1"/>
  <c r="M310" i="1" s="1"/>
  <c r="K534" i="1"/>
  <c r="M534" i="1" s="1"/>
  <c r="K460" i="1"/>
  <c r="M460" i="1" s="1"/>
  <c r="K351" i="1"/>
  <c r="M351" i="1" s="1"/>
  <c r="K285" i="1"/>
  <c r="M285" i="1" s="1"/>
  <c r="K478" i="1"/>
  <c r="M478" i="1" s="1"/>
  <c r="K533" i="1"/>
  <c r="M533" i="1" s="1"/>
  <c r="K681" i="1"/>
  <c r="M681" i="1" s="1"/>
  <c r="K412" i="1"/>
  <c r="M412" i="1" s="1"/>
  <c r="K682" i="1"/>
  <c r="M682" i="1" s="1"/>
  <c r="K364" i="1"/>
  <c r="M364" i="1" s="1"/>
  <c r="K550" i="1"/>
  <c r="M550" i="1" s="1"/>
  <c r="K711" i="1"/>
  <c r="M711" i="1" s="1"/>
  <c r="K492" i="1"/>
  <c r="M492" i="1" s="1"/>
  <c r="K519" i="1"/>
  <c r="M519" i="1" s="1"/>
  <c r="K668" i="1"/>
  <c r="M668" i="1" s="1"/>
  <c r="K459" i="1"/>
  <c r="M459" i="1" s="1"/>
  <c r="K632" i="1"/>
  <c r="M632" i="1" s="1"/>
  <c r="K726" i="1"/>
  <c r="M726" i="1" s="1"/>
  <c r="K297" i="1"/>
  <c r="M297" i="1" s="1"/>
  <c r="K397" i="1"/>
  <c r="M397" i="1" s="1"/>
  <c r="K480" i="1"/>
  <c r="M480" i="1" s="1"/>
  <c r="K493" i="1"/>
  <c r="M493" i="1" s="1"/>
  <c r="K590" i="1"/>
  <c r="M590" i="1" s="1"/>
  <c r="K324" i="1"/>
  <c r="M324" i="1" s="1"/>
  <c r="K380" i="1"/>
  <c r="M380" i="1" s="1"/>
  <c r="K379" i="1"/>
  <c r="M379" i="1" s="1"/>
  <c r="K621" i="1"/>
  <c r="M621" i="1" s="1"/>
  <c r="K309" i="1"/>
  <c r="M309" i="1" s="1"/>
  <c r="K323" i="1"/>
  <c r="M323" i="1" s="1"/>
  <c r="K378" i="1"/>
  <c r="M378" i="1" s="1"/>
  <c r="K339" i="1"/>
  <c r="M339" i="1" s="1"/>
  <c r="K325" i="1"/>
  <c r="M325" i="1" s="1"/>
  <c r="K363" i="1"/>
  <c r="M363" i="1" s="1"/>
  <c r="K322" i="1"/>
  <c r="M322" i="1" s="1"/>
  <c r="K565" i="1"/>
  <c r="M565" i="1" s="1"/>
  <c r="K709" i="1"/>
  <c r="M709" i="1" s="1"/>
  <c r="K377" i="1"/>
  <c r="M377" i="1" s="1"/>
  <c r="K441" i="1"/>
  <c r="M441" i="1" s="1"/>
  <c r="K411" i="1"/>
  <c r="M411" i="1" s="1"/>
  <c r="K428" i="1"/>
  <c r="M428" i="1" s="1"/>
  <c r="K326" i="1"/>
  <c r="M326" i="1" s="1"/>
  <c r="K140" i="1"/>
  <c r="M140" i="1" s="1"/>
  <c r="K248" i="1"/>
  <c r="M248" i="1" s="1"/>
  <c r="L710" i="1"/>
  <c r="L120" i="1"/>
  <c r="T120" i="1"/>
  <c r="K644" i="1"/>
  <c r="M644" i="1" s="1"/>
  <c r="N644" i="1" s="1"/>
  <c r="U644" i="1" s="1"/>
  <c r="K622" i="1"/>
  <c r="M622" i="1" s="1"/>
  <c r="N622" i="1" s="1"/>
  <c r="U622" i="1" s="1"/>
  <c r="K365" i="1"/>
  <c r="M365" i="1" s="1"/>
  <c r="N365" i="1" s="1"/>
  <c r="U365" i="1" s="1"/>
  <c r="K604" i="1"/>
  <c r="M604" i="1" s="1"/>
  <c r="N604" i="1" s="1"/>
  <c r="U604" i="1" s="1"/>
  <c r="L579" i="1"/>
  <c r="L228" i="1"/>
  <c r="T228" i="1"/>
  <c r="L244" i="1"/>
  <c r="L669" i="1"/>
  <c r="T669" i="1"/>
  <c r="K352" i="1"/>
  <c r="M352" i="1" s="1"/>
  <c r="N352" i="1" s="1"/>
  <c r="U352" i="1" s="1"/>
  <c r="K350" i="1"/>
  <c r="M350" i="1" s="1"/>
  <c r="N350" i="1" s="1"/>
  <c r="U350" i="1" s="1"/>
  <c r="K656" i="1"/>
  <c r="M656" i="1" s="1"/>
  <c r="N656" i="1" s="1"/>
  <c r="U656" i="1" s="1"/>
  <c r="K549" i="1"/>
  <c r="M549" i="1" s="1"/>
  <c r="N549" i="1" s="1"/>
  <c r="U549" i="1" s="1"/>
  <c r="K479" i="1"/>
  <c r="M479" i="1" s="1"/>
  <c r="N479" i="1" s="1"/>
  <c r="U479" i="1" s="1"/>
  <c r="K427" i="1"/>
  <c r="M427" i="1" s="1"/>
  <c r="N427" i="1" s="1"/>
  <c r="U427" i="1" s="1"/>
  <c r="K605" i="1"/>
  <c r="M605" i="1" s="1"/>
  <c r="N605" i="1" s="1"/>
  <c r="U605" i="1" s="1"/>
  <c r="K396" i="1"/>
  <c r="M396" i="1" s="1"/>
  <c r="N396" i="1" s="1"/>
  <c r="U396" i="1" s="1"/>
  <c r="AB3" i="1"/>
  <c r="K670" i="1" s="1"/>
  <c r="M670" i="1" s="1"/>
  <c r="N670" i="1" s="1"/>
  <c r="U670" i="1" s="1"/>
  <c r="AC3" i="1"/>
  <c r="Y26" i="1"/>
  <c r="K114" i="1"/>
  <c r="M114" i="1" s="1"/>
  <c r="N114" i="1" s="1"/>
  <c r="U114" i="1" s="1"/>
  <c r="K104" i="1"/>
  <c r="M104" i="1" s="1"/>
  <c r="N104" i="1" s="1"/>
  <c r="U104" i="1" s="1"/>
  <c r="K165" i="1"/>
  <c r="M165" i="1" s="1"/>
  <c r="N165" i="1" s="1"/>
  <c r="U165" i="1" s="1"/>
  <c r="K144" i="1"/>
  <c r="M144" i="1" s="1"/>
  <c r="N144" i="1" s="1"/>
  <c r="U144" i="1" s="1"/>
  <c r="K587" i="1"/>
  <c r="M587" i="1" s="1"/>
  <c r="N587" i="1" s="1"/>
  <c r="U587" i="1" s="1"/>
  <c r="K477" i="1"/>
  <c r="M477" i="1" s="1"/>
  <c r="N477" i="1" s="1"/>
  <c r="U477" i="1" s="1"/>
  <c r="K319" i="1"/>
  <c r="M319" i="1" s="1"/>
  <c r="N319" i="1" s="1"/>
  <c r="U319" i="1" s="1"/>
  <c r="K695" i="1"/>
  <c r="M695" i="1" s="1"/>
  <c r="N695" i="1" s="1"/>
  <c r="U695" i="1" s="1"/>
  <c r="K620" i="1"/>
  <c r="M620" i="1" s="1"/>
  <c r="N620" i="1" s="1"/>
  <c r="U620" i="1" s="1"/>
  <c r="K676" i="1"/>
  <c r="M676" i="1" s="1"/>
  <c r="N676" i="1" s="1"/>
  <c r="U676" i="1" s="1"/>
  <c r="K271" i="1"/>
  <c r="M271" i="1" s="1"/>
  <c r="N271" i="1" s="1"/>
  <c r="U271" i="1" s="1"/>
  <c r="K209" i="1"/>
  <c r="M209" i="1" s="1"/>
  <c r="N209" i="1" s="1"/>
  <c r="U209" i="1" s="1"/>
  <c r="K63" i="1"/>
  <c r="M63" i="1" s="1"/>
  <c r="N63" i="1" s="1"/>
  <c r="U63" i="1" s="1"/>
  <c r="K486" i="1"/>
  <c r="M486" i="1" s="1"/>
  <c r="N486" i="1" s="1"/>
  <c r="U486" i="1" s="1"/>
  <c r="K224" i="1"/>
  <c r="M224" i="1" s="1"/>
  <c r="N224" i="1" s="1"/>
  <c r="U224" i="1" s="1"/>
  <c r="K613" i="1"/>
  <c r="M613" i="1" s="1"/>
  <c r="N613" i="1" s="1"/>
  <c r="U613" i="1" s="1"/>
  <c r="K130" i="1"/>
  <c r="M130" i="1" s="1"/>
  <c r="N130" i="1" s="1"/>
  <c r="U130" i="1" s="1"/>
  <c r="K330" i="1"/>
  <c r="M330" i="1" s="1"/>
  <c r="N330" i="1" s="1"/>
  <c r="U330" i="1" s="1"/>
  <c r="K546" i="1"/>
  <c r="M546" i="1" s="1"/>
  <c r="N546" i="1" s="1"/>
  <c r="U546" i="1" s="1"/>
  <c r="K256" i="1"/>
  <c r="M256" i="1" s="1"/>
  <c r="N256" i="1" s="1"/>
  <c r="U256" i="1" s="1"/>
  <c r="K490" i="1"/>
  <c r="M490" i="1" s="1"/>
  <c r="N490" i="1" s="1"/>
  <c r="U490" i="1" s="1"/>
  <c r="K393" i="1"/>
  <c r="M393" i="1" s="1"/>
  <c r="N393" i="1" s="1"/>
  <c r="U393" i="1" s="1"/>
  <c r="K630" i="1"/>
  <c r="M630" i="1" s="1"/>
  <c r="N630" i="1" s="1"/>
  <c r="U630" i="1" s="1"/>
  <c r="K204" i="1"/>
  <c r="M204" i="1" s="1"/>
  <c r="N204" i="1" s="1"/>
  <c r="U204" i="1" s="1"/>
  <c r="K280" i="1"/>
  <c r="M280" i="1" s="1"/>
  <c r="N280" i="1" s="1"/>
  <c r="U280" i="1" s="1"/>
  <c r="K108" i="1"/>
  <c r="M108" i="1" s="1"/>
  <c r="N108" i="1" s="1"/>
  <c r="U108" i="1" s="1"/>
  <c r="K444" i="1"/>
  <c r="M444" i="1" s="1"/>
  <c r="N444" i="1" s="1"/>
  <c r="U444" i="1" s="1"/>
  <c r="K90" i="1"/>
  <c r="M90" i="1" s="1"/>
  <c r="N90" i="1" s="1"/>
  <c r="U90" i="1" s="1"/>
  <c r="K208" i="1"/>
  <c r="M208" i="1" s="1"/>
  <c r="K674" i="1"/>
  <c r="M674" i="1" s="1"/>
  <c r="N674" i="1" s="1"/>
  <c r="U674" i="1" s="1"/>
  <c r="K122" i="1"/>
  <c r="M122" i="1" s="1"/>
  <c r="N122" i="1" s="1"/>
  <c r="U122" i="1" s="1"/>
  <c r="K149" i="1"/>
  <c r="M149" i="1" s="1"/>
  <c r="N149" i="1" s="1"/>
  <c r="U149" i="1" s="1"/>
  <c r="K327" i="1"/>
  <c r="M327" i="1" s="1"/>
  <c r="N327" i="1" s="1"/>
  <c r="U327" i="1" s="1"/>
  <c r="K600" i="1"/>
  <c r="M600" i="1" s="1"/>
  <c r="N600" i="1" s="1"/>
  <c r="U600" i="1" s="1"/>
  <c r="K239" i="1"/>
  <c r="M239" i="1" s="1"/>
  <c r="N239" i="1" s="1"/>
  <c r="U239" i="1" s="1"/>
  <c r="K564" i="1"/>
  <c r="M564" i="1" s="1"/>
  <c r="N564" i="1" s="1"/>
  <c r="U564" i="1" s="1"/>
  <c r="K258" i="1"/>
  <c r="M258" i="1" s="1"/>
  <c r="N258" i="1" s="1"/>
  <c r="U258" i="1" s="1"/>
  <c r="K223" i="1"/>
  <c r="M223" i="1" s="1"/>
  <c r="N223" i="1" s="1"/>
  <c r="U223" i="1" s="1"/>
  <c r="K207" i="1"/>
  <c r="M207" i="1" s="1"/>
  <c r="N207" i="1" s="1"/>
  <c r="U207" i="1" s="1"/>
  <c r="K134" i="1"/>
  <c r="M134" i="1" s="1"/>
  <c r="N134" i="1" s="1"/>
  <c r="U134" i="1" s="1"/>
  <c r="K437" i="1"/>
  <c r="M437" i="1" s="1"/>
  <c r="N437" i="1" s="1"/>
  <c r="U437" i="1" s="1"/>
  <c r="K723" i="1"/>
  <c r="M723" i="1" s="1"/>
  <c r="N723" i="1" s="1"/>
  <c r="U723" i="1" s="1"/>
  <c r="K190" i="1"/>
  <c r="M190" i="1" s="1"/>
  <c r="N190" i="1" s="1"/>
  <c r="U190" i="1" s="1"/>
  <c r="K299" i="1"/>
  <c r="M299" i="1" s="1"/>
  <c r="N299" i="1" s="1"/>
  <c r="U299" i="1" s="1"/>
  <c r="K456" i="1"/>
  <c r="M456" i="1" s="1"/>
  <c r="N456" i="1" s="1"/>
  <c r="U456" i="1" s="1"/>
  <c r="K696" i="1"/>
  <c r="M696" i="1" s="1"/>
  <c r="N696" i="1" s="1"/>
  <c r="U696" i="1" s="1"/>
  <c r="K251" i="1"/>
  <c r="M251" i="1" s="1"/>
  <c r="N251" i="1" s="1"/>
  <c r="U251" i="1" s="1"/>
  <c r="K661" i="1"/>
  <c r="M661" i="1" s="1"/>
  <c r="N661" i="1" s="1"/>
  <c r="U661" i="1" s="1"/>
  <c r="K141" i="1"/>
  <c r="M141" i="1" s="1"/>
  <c r="N141" i="1" s="1"/>
  <c r="U141" i="1" s="1"/>
  <c r="K500" i="1"/>
  <c r="M500" i="1" s="1"/>
  <c r="N500" i="1" s="1"/>
  <c r="U500" i="1" s="1"/>
  <c r="K408" i="1"/>
  <c r="M408" i="1" s="1"/>
  <c r="N408" i="1" s="1"/>
  <c r="U408" i="1" s="1"/>
  <c r="K81" i="1"/>
  <c r="M81" i="1" s="1"/>
  <c r="N81" i="1" s="1"/>
  <c r="U81" i="1" s="1"/>
  <c r="K545" i="1"/>
  <c r="M545" i="1" s="1"/>
  <c r="N545" i="1" s="1"/>
  <c r="U545" i="1" s="1"/>
  <c r="K237" i="1"/>
  <c r="M237" i="1" s="1"/>
  <c r="K126" i="1"/>
  <c r="M126" i="1" s="1"/>
  <c r="N126" i="1" s="1"/>
  <c r="U126" i="1" s="1"/>
  <c r="K454" i="1"/>
  <c r="M454" i="1" s="1"/>
  <c r="N454" i="1" s="1"/>
  <c r="U454" i="1" s="1"/>
  <c r="K678" i="1"/>
  <c r="M678" i="1" s="1"/>
  <c r="N678" i="1" s="1"/>
  <c r="U678" i="1" s="1"/>
  <c r="K535" i="1"/>
  <c r="M535" i="1" s="1"/>
  <c r="N535" i="1" s="1"/>
  <c r="U535" i="1" s="1"/>
  <c r="K328" i="1"/>
  <c r="M328" i="1" s="1"/>
  <c r="N328" i="1" s="1"/>
  <c r="U328" i="1" s="1"/>
  <c r="K54" i="1"/>
  <c r="M54" i="1" s="1"/>
  <c r="N54" i="1" s="1"/>
  <c r="U54" i="1" s="1"/>
  <c r="K435" i="1"/>
  <c r="M435" i="1" s="1"/>
  <c r="N435" i="1" s="1"/>
  <c r="U435" i="1" s="1"/>
  <c r="K359" i="1"/>
  <c r="M359" i="1" s="1"/>
  <c r="N359" i="1" s="1"/>
  <c r="U359" i="1" s="1"/>
  <c r="K722" i="1"/>
  <c r="M722" i="1" s="1"/>
  <c r="N722" i="1" s="1"/>
  <c r="U722" i="1" s="1"/>
  <c r="K30" i="1"/>
  <c r="M30" i="1" s="1"/>
  <c r="N30" i="1" s="1"/>
  <c r="U30" i="1" s="1"/>
  <c r="K475" i="1"/>
  <c r="M475" i="1" s="1"/>
  <c r="N475" i="1" s="1"/>
  <c r="U475" i="1" s="1"/>
  <c r="K103" i="1"/>
  <c r="M103" i="1" s="1"/>
  <c r="N103" i="1" s="1"/>
  <c r="U103" i="1" s="1"/>
  <c r="K440" i="1"/>
  <c r="M440" i="1" s="1"/>
  <c r="N440" i="1" s="1"/>
  <c r="U440" i="1" s="1"/>
  <c r="K470" i="1"/>
  <c r="M470" i="1" s="1"/>
  <c r="N470" i="1" s="1"/>
  <c r="U470" i="1" s="1"/>
  <c r="K157" i="1"/>
  <c r="M157" i="1" s="1"/>
  <c r="N157" i="1" s="1"/>
  <c r="U157" i="1" s="1"/>
  <c r="K42" i="1"/>
  <c r="M42" i="1" s="1"/>
  <c r="N42" i="1" s="1"/>
  <c r="U42" i="1" s="1"/>
  <c r="K361" i="1"/>
  <c r="M361" i="1" s="1"/>
  <c r="N361" i="1" s="1"/>
  <c r="U361" i="1" s="1"/>
  <c r="K474" i="1"/>
  <c r="M474" i="1" s="1"/>
  <c r="N474" i="1" s="1"/>
  <c r="U474" i="1" s="1"/>
  <c r="K235" i="1"/>
  <c r="M235" i="1" s="1"/>
  <c r="N235" i="1" s="1"/>
  <c r="U235" i="1" s="1"/>
  <c r="K139" i="1"/>
  <c r="M139" i="1" s="1"/>
  <c r="N139" i="1" s="1"/>
  <c r="U139" i="1" s="1"/>
  <c r="K469" i="1"/>
  <c r="M469" i="1" s="1"/>
  <c r="N469" i="1" s="1"/>
  <c r="U469" i="1" s="1"/>
  <c r="K46" i="1"/>
  <c r="M46" i="1" s="1"/>
  <c r="N46" i="1" s="1"/>
  <c r="U46" i="1" s="1"/>
  <c r="K720" i="1"/>
  <c r="M720" i="1" s="1"/>
  <c r="N720" i="1" s="1"/>
  <c r="U720" i="1" s="1"/>
  <c r="K232" i="1"/>
  <c r="M232" i="1" s="1"/>
  <c r="N232" i="1" s="1"/>
  <c r="U232" i="1" s="1"/>
  <c r="K304" i="1"/>
  <c r="M304" i="1" s="1"/>
  <c r="N304" i="1" s="1"/>
  <c r="U304" i="1" s="1"/>
  <c r="K240" i="1"/>
  <c r="M240" i="1" s="1"/>
  <c r="N240" i="1" s="1"/>
  <c r="U240" i="1" s="1"/>
  <c r="K27" i="1"/>
  <c r="M27" i="1" s="1"/>
  <c r="N27" i="1" s="1"/>
  <c r="U27" i="1" s="1"/>
  <c r="K132" i="1"/>
  <c r="M132" i="1" s="1"/>
  <c r="N132" i="1" s="1"/>
  <c r="U132" i="1" s="1"/>
  <c r="K560" i="1"/>
  <c r="M560" i="1" s="1"/>
  <c r="N560" i="1" s="1"/>
  <c r="U560" i="1" s="1"/>
  <c r="K558" i="1"/>
  <c r="M558" i="1" s="1"/>
  <c r="N558" i="1" s="1"/>
  <c r="U558" i="1" s="1"/>
  <c r="K666" i="1"/>
  <c r="M666" i="1" s="1"/>
  <c r="N666" i="1" s="1"/>
  <c r="U666" i="1" s="1"/>
  <c r="K526" i="1"/>
  <c r="M526" i="1" s="1"/>
  <c r="N526" i="1" s="1"/>
  <c r="U526" i="1" s="1"/>
  <c r="K631" i="1"/>
  <c r="M631" i="1" s="1"/>
  <c r="N631" i="1" s="1"/>
  <c r="U631" i="1" s="1"/>
  <c r="K544" i="1"/>
  <c r="M544" i="1" s="1"/>
  <c r="N544" i="1" s="1"/>
  <c r="U544" i="1" s="1"/>
  <c r="K603" i="1"/>
  <c r="M603" i="1" s="1"/>
  <c r="N603" i="1" s="1"/>
  <c r="U603" i="1" s="1"/>
  <c r="K286" i="1"/>
  <c r="M286" i="1" s="1"/>
  <c r="N286" i="1" s="1"/>
  <c r="U286" i="1" s="1"/>
  <c r="K264" i="1"/>
  <c r="M264" i="1" s="1"/>
  <c r="N264" i="1" s="1"/>
  <c r="U264" i="1" s="1"/>
  <c r="K99" i="1"/>
  <c r="M99" i="1" s="1"/>
  <c r="N99" i="1" s="1"/>
  <c r="U99" i="1" s="1"/>
  <c r="K265" i="1"/>
  <c r="M265" i="1" s="1"/>
  <c r="N265" i="1" s="1"/>
  <c r="U265" i="1" s="1"/>
  <c r="K471" i="1"/>
  <c r="M471" i="1" s="1"/>
  <c r="N471" i="1" s="1"/>
  <c r="U471" i="1" s="1"/>
  <c r="K455" i="1"/>
  <c r="M455" i="1" s="1"/>
  <c r="N455" i="1" s="1"/>
  <c r="U455" i="1" s="1"/>
  <c r="K333" i="1"/>
  <c r="M333" i="1" s="1"/>
  <c r="N333" i="1" s="1"/>
  <c r="U333" i="1" s="1"/>
  <c r="K187" i="1"/>
  <c r="M187" i="1" s="1"/>
  <c r="N187" i="1" s="1"/>
  <c r="U187" i="1" s="1"/>
  <c r="K174" i="1"/>
  <c r="M174" i="1" s="1"/>
  <c r="N174" i="1" s="1"/>
  <c r="U174" i="1" s="1"/>
  <c r="K25" i="1"/>
  <c r="M25" i="1" s="1"/>
  <c r="N25" i="1" s="1"/>
  <c r="U25" i="1" s="1"/>
  <c r="K206" i="1"/>
  <c r="M206" i="1" s="1"/>
  <c r="N206" i="1" s="1"/>
  <c r="U206" i="1" s="1"/>
  <c r="K267" i="1"/>
  <c r="M267" i="1" s="1"/>
  <c r="N267" i="1" s="1"/>
  <c r="U267" i="1" s="1"/>
  <c r="K652" i="1"/>
  <c r="M652" i="1" s="1"/>
  <c r="N652" i="1" s="1"/>
  <c r="U652" i="1" s="1"/>
  <c r="K49" i="1"/>
  <c r="M49" i="1" s="1"/>
  <c r="N49" i="1" s="1"/>
  <c r="U49" i="1" s="1"/>
  <c r="K9" i="1"/>
  <c r="M9" i="1" s="1"/>
  <c r="N9" i="1" s="1"/>
  <c r="U9" i="1" s="1"/>
  <c r="K381" i="1"/>
  <c r="M381" i="1" s="1"/>
  <c r="N381" i="1" s="1"/>
  <c r="U381" i="1" s="1"/>
  <c r="K338" i="1"/>
  <c r="M338" i="1" s="1"/>
  <c r="N338" i="1" s="1"/>
  <c r="U338" i="1" s="1"/>
  <c r="K506" i="1"/>
  <c r="M506" i="1" s="1"/>
  <c r="N506" i="1" s="1"/>
  <c r="U506" i="1" s="1"/>
  <c r="K133" i="1"/>
  <c r="M133" i="1" s="1"/>
  <c r="N133" i="1" s="1"/>
  <c r="U133" i="1" s="1"/>
  <c r="K242" i="1"/>
  <c r="M242" i="1" s="1"/>
  <c r="N242" i="1" s="1"/>
  <c r="U242" i="1" s="1"/>
  <c r="K7" i="1"/>
  <c r="M7" i="1" s="1"/>
  <c r="N7" i="1" s="1"/>
  <c r="U7" i="1" s="1"/>
  <c r="K512" i="1"/>
  <c r="M512" i="1" s="1"/>
  <c r="N512" i="1" s="1"/>
  <c r="U512" i="1" s="1"/>
  <c r="K586" i="1"/>
  <c r="M586" i="1" s="1"/>
  <c r="N586" i="1" s="1"/>
  <c r="U586" i="1" s="1"/>
  <c r="K694" i="1"/>
  <c r="M694" i="1" s="1"/>
  <c r="N694" i="1" s="1"/>
  <c r="U694" i="1" s="1"/>
  <c r="K577" i="1"/>
  <c r="M577" i="1" s="1"/>
  <c r="N577" i="1" s="1"/>
  <c r="U577" i="1" s="1"/>
  <c r="K115" i="1"/>
  <c r="M115" i="1" s="1"/>
  <c r="N115" i="1" s="1"/>
  <c r="U115" i="1" s="1"/>
  <c r="K349" i="1"/>
  <c r="M349" i="1" s="1"/>
  <c r="N349" i="1" s="1"/>
  <c r="U349" i="1" s="1"/>
  <c r="K83" i="1"/>
  <c r="M83" i="1" s="1"/>
  <c r="N83" i="1" s="1"/>
  <c r="U83" i="1" s="1"/>
  <c r="K230" i="1"/>
  <c r="M230" i="1" s="1"/>
  <c r="N230" i="1" s="1"/>
  <c r="U230" i="1" s="1"/>
  <c r="K52" i="1"/>
  <c r="M52" i="1" s="1"/>
  <c r="N52" i="1" s="1"/>
  <c r="U52" i="1" s="1"/>
  <c r="K556" i="1"/>
  <c r="M556" i="1" s="1"/>
  <c r="N556" i="1" s="1"/>
  <c r="U556" i="1" s="1"/>
  <c r="K295" i="1"/>
  <c r="M295" i="1" s="1"/>
  <c r="N295" i="1" s="1"/>
  <c r="U295" i="1" s="1"/>
  <c r="K612" i="1"/>
  <c r="M612" i="1" s="1"/>
  <c r="N612" i="1" s="1"/>
  <c r="U612" i="1" s="1"/>
  <c r="K24" i="1"/>
  <c r="M24" i="1" s="1"/>
  <c r="N24" i="1" s="1"/>
  <c r="U24" i="1" s="1"/>
  <c r="K35" i="1"/>
  <c r="M35" i="1" s="1"/>
  <c r="N35" i="1" s="1"/>
  <c r="U35" i="1" s="1"/>
  <c r="K536" i="1"/>
  <c r="M536" i="1" s="1"/>
  <c r="N536" i="1" s="1"/>
  <c r="U536" i="1" s="1"/>
  <c r="K34" i="1"/>
  <c r="M34" i="1" s="1"/>
  <c r="N34" i="1" s="1"/>
  <c r="U34" i="1" s="1"/>
  <c r="K472" i="1"/>
  <c r="M472" i="1" s="1"/>
  <c r="N472" i="1" s="1"/>
  <c r="U472" i="1" s="1"/>
  <c r="K643" i="1"/>
  <c r="M643" i="1" s="1"/>
  <c r="N643" i="1" s="1"/>
  <c r="U643" i="1" s="1"/>
  <c r="K353" i="1"/>
  <c r="M353" i="1" s="1"/>
  <c r="N353" i="1" s="1"/>
  <c r="U353" i="1" s="1"/>
  <c r="K725" i="1"/>
  <c r="M725" i="1" s="1"/>
  <c r="N725" i="1" s="1"/>
  <c r="U725" i="1" s="1"/>
  <c r="K602" i="1"/>
  <c r="M602" i="1" s="1"/>
  <c r="N602" i="1" s="1"/>
  <c r="U602" i="1" s="1"/>
  <c r="K530" i="1"/>
  <c r="M530" i="1" s="1"/>
  <c r="N530" i="1" s="1"/>
  <c r="U530" i="1" s="1"/>
  <c r="K548" i="1"/>
  <c r="M548" i="1" s="1"/>
  <c r="N548" i="1" s="1"/>
  <c r="U548" i="1" s="1"/>
  <c r="K623" i="1"/>
  <c r="M623" i="1" s="1"/>
  <c r="N623" i="1" s="1"/>
  <c r="U623" i="1" s="1"/>
  <c r="K649" i="1"/>
  <c r="M649" i="1" s="1"/>
  <c r="N649" i="1" s="1"/>
  <c r="U649" i="1" s="1"/>
  <c r="K719" i="1"/>
  <c r="M719" i="1" s="1"/>
  <c r="N719" i="1" s="1"/>
  <c r="U719" i="1" s="1"/>
  <c r="K436" i="1"/>
  <c r="M436" i="1" s="1"/>
  <c r="N436" i="1" s="1"/>
  <c r="U436" i="1" s="1"/>
  <c r="K307" i="1"/>
  <c r="M307" i="1" s="1"/>
  <c r="N307" i="1" s="1"/>
  <c r="U307" i="1" s="1"/>
  <c r="K318" i="1"/>
  <c r="M318" i="1" s="1"/>
  <c r="N318" i="1" s="1"/>
  <c r="U318" i="1" s="1"/>
  <c r="K335" i="1"/>
  <c r="M335" i="1" s="1"/>
  <c r="N335" i="1" s="1"/>
  <c r="U335" i="1" s="1"/>
  <c r="K443" i="1"/>
  <c r="M443" i="1" s="1"/>
  <c r="N443" i="1" s="1"/>
  <c r="U443" i="1" s="1"/>
  <c r="K705" i="1"/>
  <c r="M705" i="1" s="1"/>
  <c r="N705" i="1" s="1"/>
  <c r="U705" i="1" s="1"/>
  <c r="K254" i="1"/>
  <c r="M254" i="1" s="1"/>
  <c r="N254" i="1" s="1"/>
  <c r="U254" i="1" s="1"/>
  <c r="K697" i="1"/>
  <c r="M697" i="1" s="1"/>
  <c r="N697" i="1" s="1"/>
  <c r="U697" i="1" s="1"/>
  <c r="K91" i="1"/>
  <c r="M91" i="1" s="1"/>
  <c r="N91" i="1" s="1"/>
  <c r="U91" i="1" s="1"/>
  <c r="K48" i="1"/>
  <c r="M48" i="1" s="1"/>
  <c r="N48" i="1" s="1"/>
  <c r="U48" i="1" s="1"/>
  <c r="K515" i="1"/>
  <c r="M515" i="1" s="1"/>
  <c r="N515" i="1" s="1"/>
  <c r="U515" i="1" s="1"/>
  <c r="K137" i="1"/>
  <c r="M137" i="1" s="1"/>
  <c r="N137" i="1" s="1"/>
  <c r="U137" i="1" s="1"/>
  <c r="K690" i="1"/>
  <c r="M690" i="1" s="1"/>
  <c r="N690" i="1" s="1"/>
  <c r="U690" i="1" s="1"/>
  <c r="K156" i="1"/>
  <c r="M156" i="1" s="1"/>
  <c r="N156" i="1" s="1"/>
  <c r="U156" i="1" s="1"/>
  <c r="K389" i="1"/>
  <c r="M389" i="1" s="1"/>
  <c r="N389" i="1" s="1"/>
  <c r="U389" i="1" s="1"/>
  <c r="K345" i="1"/>
  <c r="M345" i="1" s="1"/>
  <c r="N345" i="1" s="1"/>
  <c r="U345" i="1" s="1"/>
  <c r="K60" i="1"/>
  <c r="M60" i="1" s="1"/>
  <c r="N60" i="1" s="1"/>
  <c r="U60" i="1" s="1"/>
  <c r="K153" i="1"/>
  <c r="M153" i="1" s="1"/>
  <c r="N153" i="1" s="1"/>
  <c r="U153" i="1" s="1"/>
  <c r="K336" i="1"/>
  <c r="M336" i="1" s="1"/>
  <c r="N336" i="1" s="1"/>
  <c r="U336" i="1" s="1"/>
  <c r="K611" i="1"/>
  <c r="M611" i="1" s="1"/>
  <c r="N611" i="1" s="1"/>
  <c r="U611" i="1" s="1"/>
  <c r="K372" i="1"/>
  <c r="M372" i="1" s="1"/>
  <c r="N372" i="1" s="1"/>
  <c r="U372" i="1" s="1"/>
  <c r="K56" i="1"/>
  <c r="M56" i="1" s="1"/>
  <c r="N56" i="1" s="1"/>
  <c r="U56" i="1" s="1"/>
  <c r="K357" i="1"/>
  <c r="M357" i="1" s="1"/>
  <c r="N357" i="1" s="1"/>
  <c r="U357" i="1" s="1"/>
  <c r="K473" i="1"/>
  <c r="M473" i="1" s="1"/>
  <c r="N473" i="1" s="1"/>
  <c r="U473" i="1" s="1"/>
  <c r="K522" i="1"/>
  <c r="M522" i="1" s="1"/>
  <c r="N522" i="1" s="1"/>
  <c r="U522" i="1" s="1"/>
  <c r="K135" i="1"/>
  <c r="M135" i="1" s="1"/>
  <c r="N135" i="1" s="1"/>
  <c r="U135" i="1" s="1"/>
  <c r="K151" i="1"/>
  <c r="M151" i="1" s="1"/>
  <c r="N151" i="1" s="1"/>
  <c r="U151" i="1" s="1"/>
  <c r="K547" i="1"/>
  <c r="M547" i="1" s="1"/>
  <c r="N547" i="1" s="1"/>
  <c r="U547" i="1" s="1"/>
  <c r="K15" i="1"/>
  <c r="M15" i="1" s="1"/>
  <c r="N15" i="1" s="1"/>
  <c r="U15" i="1" s="1"/>
  <c r="K424" i="1"/>
  <c r="M424" i="1" s="1"/>
  <c r="N424" i="1" s="1"/>
  <c r="U424" i="1" s="1"/>
  <c r="K376" i="1"/>
  <c r="M376" i="1" s="1"/>
  <c r="N376" i="1" s="1"/>
  <c r="U376" i="1" s="1"/>
  <c r="K117" i="1"/>
  <c r="M117" i="1" s="1"/>
  <c r="N117" i="1" s="1"/>
  <c r="U117" i="1" s="1"/>
  <c r="K398" i="1"/>
  <c r="M398" i="1" s="1"/>
  <c r="N398" i="1" s="1"/>
  <c r="U398" i="1" s="1"/>
  <c r="K17" i="1"/>
  <c r="M17" i="1" s="1"/>
  <c r="N17" i="1" s="1"/>
  <c r="U17" i="1" s="1"/>
  <c r="K683" i="1"/>
  <c r="M683" i="1" s="1"/>
  <c r="N683" i="1" s="1"/>
  <c r="U683" i="1" s="1"/>
  <c r="K413" i="1"/>
  <c r="M413" i="1" s="1"/>
  <c r="N413" i="1" s="1"/>
  <c r="U413" i="1" s="1"/>
  <c r="K584" i="1"/>
  <c r="M584" i="1" s="1"/>
  <c r="N584" i="1" s="1"/>
  <c r="U584" i="1" s="1"/>
  <c r="K76" i="1"/>
  <c r="M76" i="1" s="1"/>
  <c r="N76" i="1" s="1"/>
  <c r="U76" i="1" s="1"/>
  <c r="K562" i="1"/>
  <c r="M562" i="1" s="1"/>
  <c r="N562" i="1" s="1"/>
  <c r="U562" i="1" s="1"/>
  <c r="K468" i="1"/>
  <c r="M468" i="1" s="1"/>
  <c r="N468" i="1" s="1"/>
  <c r="U468" i="1" s="1"/>
  <c r="K198" i="1"/>
  <c r="M198" i="1" s="1"/>
  <c r="N198" i="1" s="1"/>
  <c r="U198" i="1" s="1"/>
  <c r="K360" i="1"/>
  <c r="M360" i="1" s="1"/>
  <c r="N360" i="1" s="1"/>
  <c r="U360" i="1" s="1"/>
  <c r="K334" i="1"/>
  <c r="M334" i="1" s="1"/>
  <c r="N334" i="1" s="1"/>
  <c r="U334" i="1" s="1"/>
  <c r="K721" i="1"/>
  <c r="M721" i="1" s="1"/>
  <c r="N721" i="1" s="1"/>
  <c r="U721" i="1" s="1"/>
  <c r="K462" i="1"/>
  <c r="M462" i="1" s="1"/>
  <c r="N462" i="1" s="1"/>
  <c r="U462" i="1" s="1"/>
  <c r="K646" i="1"/>
  <c r="M646" i="1" s="1"/>
  <c r="N646" i="1" s="1"/>
  <c r="U646" i="1" s="1"/>
  <c r="K567" i="1"/>
  <c r="M567" i="1" s="1"/>
  <c r="N567" i="1" s="1"/>
  <c r="U567" i="1" s="1"/>
  <c r="K70" i="1"/>
  <c r="M70" i="1" s="1"/>
  <c r="N70" i="1" s="1"/>
  <c r="U70" i="1" s="1"/>
  <c r="K66" i="1"/>
  <c r="M66" i="1" s="1"/>
  <c r="N66" i="1" s="1"/>
  <c r="U66" i="1" s="1"/>
  <c r="K488" i="1"/>
  <c r="M488" i="1" s="1"/>
  <c r="N488" i="1" s="1"/>
  <c r="U488" i="1" s="1"/>
  <c r="K191" i="1"/>
  <c r="M191" i="1" s="1"/>
  <c r="N191" i="1" s="1"/>
  <c r="U191" i="1" s="1"/>
  <c r="K20" i="1"/>
  <c r="M20" i="1" s="1"/>
  <c r="N20" i="1" s="1"/>
  <c r="U20" i="1" s="1"/>
  <c r="K212" i="1"/>
  <c r="M212" i="1" s="1"/>
  <c r="N212" i="1" s="1"/>
  <c r="U212" i="1" s="1"/>
  <c r="K457" i="1"/>
  <c r="M457" i="1" s="1"/>
  <c r="N457" i="1" s="1"/>
  <c r="U457" i="1" s="1"/>
  <c r="K199" i="1"/>
  <c r="M199" i="1" s="1"/>
  <c r="N199" i="1" s="1"/>
  <c r="U199" i="1" s="1"/>
  <c r="K229" i="1"/>
  <c r="M229" i="1" s="1"/>
  <c r="N229" i="1" s="1"/>
  <c r="U229" i="1" s="1"/>
  <c r="K563" i="1"/>
  <c r="M563" i="1" s="1"/>
  <c r="N563" i="1" s="1"/>
  <c r="U563" i="1" s="1"/>
  <c r="K161" i="1"/>
  <c r="M161" i="1" s="1"/>
  <c r="N161" i="1" s="1"/>
  <c r="U161" i="1" s="1"/>
  <c r="K159" i="1"/>
  <c r="M159" i="1" s="1"/>
  <c r="N159" i="1" s="1"/>
  <c r="U159" i="1" s="1"/>
  <c r="K88" i="1"/>
  <c r="M88" i="1" s="1"/>
  <c r="N88" i="1" s="1"/>
  <c r="U88" i="1" s="1"/>
  <c r="K64" i="1"/>
  <c r="M64" i="1" s="1"/>
  <c r="N64" i="1" s="1"/>
  <c r="U64" i="1" s="1"/>
  <c r="K566" i="1"/>
  <c r="M566" i="1" s="1"/>
  <c r="N566" i="1" s="1"/>
  <c r="U566" i="1" s="1"/>
  <c r="K112" i="1"/>
  <c r="M112" i="1" s="1"/>
  <c r="N112" i="1" s="1"/>
  <c r="U112" i="1" s="1"/>
  <c r="K125" i="1"/>
  <c r="M125" i="1" s="1"/>
  <c r="N125" i="1" s="1"/>
  <c r="U125" i="1" s="1"/>
  <c r="K102" i="1"/>
  <c r="M102" i="1" s="1"/>
  <c r="N102" i="1" s="1"/>
  <c r="U102" i="1" s="1"/>
  <c r="K203" i="1"/>
  <c r="M203" i="1" s="1"/>
  <c r="N203" i="1" s="1"/>
  <c r="U203" i="1" s="1"/>
  <c r="K201" i="1"/>
  <c r="M201" i="1" s="1"/>
  <c r="N201" i="1" s="1"/>
  <c r="U201" i="1" s="1"/>
  <c r="K105" i="1"/>
  <c r="M105" i="1" s="1"/>
  <c r="N105" i="1" s="1"/>
  <c r="U105" i="1" s="1"/>
  <c r="K253" i="1"/>
  <c r="M253" i="1" s="1"/>
  <c r="N253" i="1" s="1"/>
  <c r="U253" i="1" s="1"/>
  <c r="K227" i="1"/>
  <c r="M227" i="1" s="1"/>
  <c r="N227" i="1" s="1"/>
  <c r="U227" i="1" s="1"/>
  <c r="K197" i="1"/>
  <c r="M197" i="1" s="1"/>
  <c r="N197" i="1" s="1"/>
  <c r="U197" i="1" s="1"/>
  <c r="K520" i="1"/>
  <c r="M520" i="1" s="1"/>
  <c r="N520" i="1" s="1"/>
  <c r="U520" i="1" s="1"/>
  <c r="K152" i="1"/>
  <c r="M152" i="1" s="1"/>
  <c r="K308" i="1"/>
  <c r="M308" i="1" s="1"/>
  <c r="N308" i="1" s="1"/>
  <c r="U308" i="1" s="1"/>
  <c r="K450" i="1"/>
  <c r="M450" i="1" s="1"/>
  <c r="N450" i="1" s="1"/>
  <c r="U450" i="1" s="1"/>
  <c r="K410" i="1"/>
  <c r="M410" i="1" s="1"/>
  <c r="N410" i="1" s="1"/>
  <c r="U410" i="1" s="1"/>
  <c r="K680" i="1"/>
  <c r="M680" i="1" s="1"/>
  <c r="N680" i="1" s="1"/>
  <c r="U680" i="1" s="1"/>
  <c r="K491" i="1"/>
  <c r="M491" i="1" s="1"/>
  <c r="N491" i="1" s="1"/>
  <c r="U491" i="1" s="1"/>
  <c r="K32" i="1"/>
  <c r="M32" i="1" s="1"/>
  <c r="N32" i="1" s="1"/>
  <c r="U32" i="1" s="1"/>
  <c r="K128" i="1"/>
  <c r="M128" i="1" s="1"/>
  <c r="N128" i="1" s="1"/>
  <c r="U128" i="1" s="1"/>
  <c r="K213" i="1"/>
  <c r="M213" i="1" s="1"/>
  <c r="N213" i="1" s="1"/>
  <c r="U213" i="1" s="1"/>
  <c r="K489" i="1"/>
  <c r="M489" i="1" s="1"/>
  <c r="N489" i="1" s="1"/>
  <c r="U489" i="1" s="1"/>
  <c r="K281" i="1"/>
  <c r="M281" i="1" s="1"/>
  <c r="N281" i="1" s="1"/>
  <c r="U281" i="1" s="1"/>
  <c r="K29" i="1"/>
  <c r="M29" i="1" s="1"/>
  <c r="N29" i="1" s="1"/>
  <c r="U29" i="1" s="1"/>
  <c r="K181" i="1"/>
  <c r="M181" i="1" s="1"/>
  <c r="N181" i="1" s="1"/>
  <c r="U181" i="1" s="1"/>
  <c r="K392" i="1"/>
  <c r="M392" i="1" s="1"/>
  <c r="N392" i="1" s="1"/>
  <c r="U392" i="1" s="1"/>
  <c r="K375" i="1"/>
  <c r="M375" i="1" s="1"/>
  <c r="N375" i="1" s="1"/>
  <c r="U375" i="1" s="1"/>
  <c r="K321" i="1"/>
  <c r="M321" i="1" s="1"/>
  <c r="N321" i="1" s="1"/>
  <c r="U321" i="1" s="1"/>
  <c r="K106" i="1"/>
  <c r="M106" i="1" s="1"/>
  <c r="N106" i="1" s="1"/>
  <c r="U106" i="1" s="1"/>
  <c r="K37" i="1"/>
  <c r="M37" i="1" s="1"/>
  <c r="N37" i="1" s="1"/>
  <c r="U37" i="1" s="1"/>
  <c r="K291" i="1"/>
  <c r="M291" i="1" s="1"/>
  <c r="N291" i="1" s="1"/>
  <c r="U291" i="1" s="1"/>
  <c r="K663" i="1"/>
  <c r="M663" i="1" s="1"/>
  <c r="N663" i="1" s="1"/>
  <c r="U663" i="1" s="1"/>
  <c r="K614" i="1"/>
  <c r="M614" i="1" s="1"/>
  <c r="N614" i="1" s="1"/>
  <c r="U614" i="1" s="1"/>
  <c r="K585" i="1"/>
  <c r="M585" i="1" s="1"/>
  <c r="N585" i="1" s="1"/>
  <c r="U585" i="1" s="1"/>
  <c r="K421" i="1"/>
  <c r="M421" i="1" s="1"/>
  <c r="N421" i="1" s="1"/>
  <c r="U421" i="1" s="1"/>
  <c r="K14" i="1"/>
  <c r="M14" i="1" s="1"/>
  <c r="N14" i="1" s="1"/>
  <c r="U14" i="1" s="1"/>
  <c r="K305" i="1"/>
  <c r="M305" i="1" s="1"/>
  <c r="N305" i="1" s="1"/>
  <c r="U305" i="1" s="1"/>
  <c r="K406" i="1"/>
  <c r="M406" i="1" s="1"/>
  <c r="N406" i="1" s="1"/>
  <c r="U406" i="1" s="1"/>
  <c r="K384" i="1"/>
  <c r="M384" i="1" s="1"/>
  <c r="N384" i="1" s="1"/>
  <c r="U384" i="1" s="1"/>
  <c r="K145" i="1"/>
  <c r="M145" i="1" s="1"/>
  <c r="N145" i="1" s="1"/>
  <c r="U145" i="1" s="1"/>
  <c r="K231" i="1"/>
  <c r="M231" i="1" s="1"/>
  <c r="N231" i="1" s="1"/>
  <c r="U231" i="1" s="1"/>
  <c r="K517" i="1"/>
  <c r="M517" i="1" s="1"/>
  <c r="N517" i="1" s="1"/>
  <c r="U517" i="1" s="1"/>
  <c r="K119" i="1"/>
  <c r="M119" i="1" s="1"/>
  <c r="N119" i="1" s="1"/>
  <c r="U119" i="1" s="1"/>
  <c r="K641" i="1"/>
  <c r="M641" i="1" s="1"/>
  <c r="N641" i="1" s="1"/>
  <c r="U641" i="1" s="1"/>
  <c r="K45" i="1"/>
  <c r="M45" i="1" s="1"/>
  <c r="N45" i="1" s="1"/>
  <c r="U45" i="1" s="1"/>
  <c r="K249" i="1"/>
  <c r="M249" i="1" s="1"/>
  <c r="N249" i="1" s="1"/>
  <c r="U249" i="1" s="1"/>
  <c r="K12" i="1"/>
  <c r="M12" i="1" s="1"/>
  <c r="N12" i="1" s="1"/>
  <c r="U12" i="1" s="1"/>
  <c r="K257" i="1"/>
  <c r="M257" i="1" s="1"/>
  <c r="N257" i="1" s="1"/>
  <c r="U257" i="1" s="1"/>
  <c r="K638" i="1"/>
  <c r="M638" i="1" s="1"/>
  <c r="N638" i="1" s="1"/>
  <c r="U638" i="1" s="1"/>
  <c r="K487" i="1"/>
  <c r="M487" i="1" s="1"/>
  <c r="N487" i="1" s="1"/>
  <c r="U487" i="1" s="1"/>
  <c r="K194" i="1"/>
  <c r="M194" i="1" s="1"/>
  <c r="N194" i="1" s="1"/>
  <c r="U194" i="1" s="1"/>
  <c r="K414" i="1"/>
  <c r="M414" i="1" s="1"/>
  <c r="N414" i="1" s="1"/>
  <c r="U414" i="1" s="1"/>
  <c r="K504" i="1"/>
  <c r="M504" i="1" s="1"/>
  <c r="N504" i="1" s="1"/>
  <c r="U504" i="1" s="1"/>
  <c r="K250" i="1"/>
  <c r="M250" i="1" s="1"/>
  <c r="N250" i="1" s="1"/>
  <c r="U250" i="1" s="1"/>
  <c r="K362" i="1"/>
  <c r="M362" i="1" s="1"/>
  <c r="N362" i="1" s="1"/>
  <c r="U362" i="1" s="1"/>
  <c r="K11" i="1"/>
  <c r="M11" i="1" s="1"/>
  <c r="N11" i="1" s="1"/>
  <c r="U11" i="1" s="1"/>
  <c r="K215" i="1"/>
  <c r="M215" i="1" s="1"/>
  <c r="N215" i="1" s="1"/>
  <c r="U215" i="1" s="1"/>
  <c r="K576" i="1"/>
  <c r="M576" i="1" s="1"/>
  <c r="N576" i="1" s="1"/>
  <c r="U576" i="1" s="1"/>
  <c r="K189" i="1"/>
  <c r="M189" i="1" s="1"/>
  <c r="N189" i="1" s="1"/>
  <c r="U189" i="1" s="1"/>
  <c r="K383" i="1"/>
  <c r="M383" i="1" s="1"/>
  <c r="N383" i="1" s="1"/>
  <c r="U383" i="1" s="1"/>
  <c r="K617" i="1"/>
  <c r="M617" i="1" s="1"/>
  <c r="N617" i="1" s="1"/>
  <c r="U617" i="1" s="1"/>
  <c r="K531" i="1"/>
  <c r="M531" i="1" s="1"/>
  <c r="N531" i="1" s="1"/>
  <c r="U531" i="1" s="1"/>
  <c r="K374" i="1"/>
  <c r="M374" i="1" s="1"/>
  <c r="N374" i="1" s="1"/>
  <c r="U374" i="1" s="1"/>
  <c r="K26" i="1"/>
  <c r="M26" i="1" s="1"/>
  <c r="N26" i="1" s="1"/>
  <c r="U26" i="1" s="1"/>
  <c r="K391" i="1"/>
  <c r="M391" i="1" s="1"/>
  <c r="N391" i="1" s="1"/>
  <c r="U391" i="1" s="1"/>
  <c r="K382" i="1"/>
  <c r="M382" i="1" s="1"/>
  <c r="N382" i="1" s="1"/>
  <c r="U382" i="1" s="1"/>
  <c r="K270" i="1"/>
  <c r="M270" i="1" s="1"/>
  <c r="N270" i="1" s="1"/>
  <c r="U270" i="1" s="1"/>
  <c r="K36" i="1"/>
  <c r="M36" i="1" s="1"/>
  <c r="N36" i="1" s="1"/>
  <c r="U36" i="1" s="1"/>
  <c r="K703" i="1"/>
  <c r="M703" i="1" s="1"/>
  <c r="N703" i="1" s="1"/>
  <c r="U703" i="1" s="1"/>
  <c r="K73" i="1"/>
  <c r="M73" i="1" s="1"/>
  <c r="N73" i="1" s="1"/>
  <c r="U73" i="1" s="1"/>
  <c r="K358" i="1"/>
  <c r="M358" i="1" s="1"/>
  <c r="N358" i="1" s="1"/>
  <c r="U358" i="1" s="1"/>
  <c r="K615" i="1"/>
  <c r="M615" i="1" s="1"/>
  <c r="N615" i="1" s="1"/>
  <c r="U615" i="1" s="1"/>
  <c r="K195" i="1"/>
  <c r="M195" i="1" s="1"/>
  <c r="N195" i="1" s="1"/>
  <c r="U195" i="1" s="1"/>
  <c r="K346" i="1"/>
  <c r="M346" i="1" s="1"/>
  <c r="N346" i="1" s="1"/>
  <c r="U346" i="1" s="1"/>
  <c r="K559" i="1"/>
  <c r="M559" i="1" s="1"/>
  <c r="N559" i="1" s="1"/>
  <c r="U559" i="1" s="1"/>
  <c r="K219" i="1"/>
  <c r="M219" i="1" s="1"/>
  <c r="N219" i="1" s="1"/>
  <c r="U219" i="1" s="1"/>
  <c r="K138" i="1"/>
  <c r="M138" i="1" s="1"/>
  <c r="N138" i="1" s="1"/>
  <c r="U138" i="1" s="1"/>
  <c r="K218" i="1"/>
  <c r="M218" i="1" s="1"/>
  <c r="N218" i="1" s="1"/>
  <c r="U218" i="1" s="1"/>
  <c r="K640" i="1"/>
  <c r="M640" i="1" s="1"/>
  <c r="N640" i="1" s="1"/>
  <c r="U640" i="1" s="1"/>
  <c r="K233" i="1"/>
  <c r="M233" i="1" s="1"/>
  <c r="N233" i="1" s="1"/>
  <c r="U233" i="1" s="1"/>
  <c r="K234" i="1"/>
  <c r="M234" i="1" s="1"/>
  <c r="N234" i="1" s="1"/>
  <c r="U234" i="1" s="1"/>
  <c r="K707" i="1"/>
  <c r="M707" i="1" s="1"/>
  <c r="N707" i="1" s="1"/>
  <c r="U707" i="1" s="1"/>
  <c r="K591" i="1"/>
  <c r="M591" i="1" s="1"/>
  <c r="N591" i="1" s="1"/>
  <c r="U591" i="1" s="1"/>
  <c r="K238" i="1"/>
  <c r="M238" i="1" s="1"/>
  <c r="N238" i="1" s="1"/>
  <c r="U238" i="1" s="1"/>
  <c r="K202" i="1"/>
  <c r="M202" i="1" s="1"/>
  <c r="N202" i="1" s="1"/>
  <c r="U202" i="1" s="1"/>
  <c r="K344" i="1"/>
  <c r="M344" i="1" s="1"/>
  <c r="N344" i="1" s="1"/>
  <c r="U344" i="1" s="1"/>
  <c r="K306" i="1"/>
  <c r="M306" i="1" s="1"/>
  <c r="N306" i="1" s="1"/>
  <c r="U306" i="1" s="1"/>
  <c r="K293" i="1"/>
  <c r="M293" i="1" s="1"/>
  <c r="N293" i="1" s="1"/>
  <c r="U293" i="1" s="1"/>
  <c r="K667" i="1"/>
  <c r="M667" i="1" s="1"/>
  <c r="N667" i="1" s="1"/>
  <c r="U667" i="1" s="1"/>
  <c r="K438" i="1"/>
  <c r="M438" i="1" s="1"/>
  <c r="N438" i="1" s="1"/>
  <c r="U438" i="1" s="1"/>
  <c r="K22" i="1"/>
  <c r="M22" i="1" s="1"/>
  <c r="N22" i="1" s="1"/>
  <c r="U22" i="1" s="1"/>
  <c r="K163" i="1"/>
  <c r="M163" i="1" s="1"/>
  <c r="N163" i="1" s="1"/>
  <c r="U163" i="1" s="1"/>
  <c r="K409" i="1"/>
  <c r="M409" i="1" s="1"/>
  <c r="N409" i="1" s="1"/>
  <c r="U409" i="1" s="1"/>
  <c r="K150" i="1"/>
  <c r="M150" i="1" s="1"/>
  <c r="N150" i="1" s="1"/>
  <c r="U150" i="1" s="1"/>
  <c r="K123" i="1"/>
  <c r="M123" i="1" s="1"/>
  <c r="N123" i="1" s="1"/>
  <c r="U123" i="1" s="1"/>
  <c r="K154" i="1"/>
  <c r="M154" i="1" s="1"/>
  <c r="N154" i="1" s="1"/>
  <c r="U154" i="1" s="1"/>
  <c r="K557" i="1"/>
  <c r="M557" i="1" s="1"/>
  <c r="N557" i="1" s="1"/>
  <c r="U557" i="1" s="1"/>
  <c r="K588" i="1"/>
  <c r="M588" i="1" s="1"/>
  <c r="N588" i="1" s="1"/>
  <c r="U588" i="1" s="1"/>
  <c r="K637" i="1"/>
  <c r="M637" i="1" s="1"/>
  <c r="N637" i="1" s="1"/>
  <c r="U637" i="1" s="1"/>
  <c r="K629" i="1"/>
  <c r="M629" i="1" s="1"/>
  <c r="N629" i="1" s="1"/>
  <c r="U629" i="1" s="1"/>
  <c r="K390" i="1"/>
  <c r="M390" i="1" s="1"/>
  <c r="N390" i="1" s="1"/>
  <c r="U390" i="1" s="1"/>
  <c r="K78" i="1"/>
  <c r="M78" i="1" s="1"/>
  <c r="N78" i="1" s="1"/>
  <c r="U78" i="1" s="1"/>
  <c r="K501" i="1"/>
  <c r="M501" i="1" s="1"/>
  <c r="N501" i="1" s="1"/>
  <c r="U501" i="1" s="1"/>
  <c r="K211" i="1"/>
  <c r="M211" i="1" s="1"/>
  <c r="N211" i="1" s="1"/>
  <c r="U211" i="1" s="1"/>
  <c r="K347" i="1"/>
  <c r="M347" i="1" s="1"/>
  <c r="N347" i="1" s="1"/>
  <c r="U347" i="1" s="1"/>
  <c r="K679" i="1"/>
  <c r="M679" i="1" s="1"/>
  <c r="N679" i="1" s="1"/>
  <c r="U679" i="1" s="1"/>
  <c r="K495" i="1"/>
  <c r="M495" i="1" s="1"/>
  <c r="N495" i="1" s="1"/>
  <c r="U495" i="1" s="1"/>
  <c r="K184" i="1"/>
  <c r="M184" i="1" s="1"/>
  <c r="N184" i="1" s="1"/>
  <c r="U184" i="1" s="1"/>
  <c r="K185" i="1"/>
  <c r="M185" i="1" s="1"/>
  <c r="N185" i="1" s="1"/>
  <c r="U185" i="1" s="1"/>
  <c r="K516" i="1"/>
  <c r="M516" i="1" s="1"/>
  <c r="N516" i="1" s="1"/>
  <c r="U516" i="1" s="1"/>
  <c r="K142" i="1"/>
  <c r="M142" i="1" s="1"/>
  <c r="N142" i="1" s="1"/>
  <c r="U142" i="1" s="1"/>
  <c r="K527" i="1"/>
  <c r="M527" i="1" s="1"/>
  <c r="N527" i="1" s="1"/>
  <c r="U527" i="1" s="1"/>
  <c r="K598" i="1"/>
  <c r="M598" i="1" s="1"/>
  <c r="N598" i="1" s="1"/>
  <c r="U598" i="1" s="1"/>
  <c r="K688" i="1"/>
  <c r="M688" i="1" s="1"/>
  <c r="N688" i="1" s="1"/>
  <c r="U688" i="1" s="1"/>
  <c r="K95" i="1"/>
  <c r="M95" i="1" s="1"/>
  <c r="N95" i="1" s="1"/>
  <c r="U95" i="1" s="1"/>
  <c r="K628" i="1"/>
  <c r="M628" i="1" s="1"/>
  <c r="N628" i="1" s="1"/>
  <c r="U628" i="1" s="1"/>
  <c r="K619" i="1"/>
  <c r="M619" i="1" s="1"/>
  <c r="N619" i="1" s="1"/>
  <c r="U619" i="1" s="1"/>
  <c r="K513" i="1"/>
  <c r="M513" i="1" s="1"/>
  <c r="N513" i="1" s="1"/>
  <c r="U513" i="1" s="1"/>
  <c r="K654" i="1"/>
  <c r="M654" i="1" s="1"/>
  <c r="N654" i="1" s="1"/>
  <c r="U654" i="1" s="1"/>
  <c r="K662" i="1"/>
  <c r="M662" i="1" s="1"/>
  <c r="N662" i="1" s="1"/>
  <c r="U662" i="1" s="1"/>
  <c r="K394" i="1"/>
  <c r="M394" i="1" s="1"/>
  <c r="N394" i="1" s="1"/>
  <c r="U394" i="1" s="1"/>
  <c r="T713" i="1" l="1"/>
  <c r="T146" i="1"/>
  <c r="L146" i="1"/>
  <c r="K609" i="1"/>
  <c r="M609" i="1" s="1"/>
  <c r="N609" i="1" s="1"/>
  <c r="U609" i="1" s="1"/>
  <c r="T183" i="1"/>
  <c r="L183" i="1"/>
  <c r="T634" i="1"/>
  <c r="L634" i="1"/>
  <c r="L713" i="1"/>
  <c r="T312" i="1"/>
  <c r="L285" i="1"/>
  <c r="N285" i="1"/>
  <c r="U285" i="1" s="1"/>
  <c r="L351" i="1"/>
  <c r="N351" i="1"/>
  <c r="U351" i="1" s="1"/>
  <c r="L460" i="1"/>
  <c r="N460" i="1"/>
  <c r="U460" i="1" s="1"/>
  <c r="T326" i="1"/>
  <c r="N326" i="1"/>
  <c r="U326" i="1" s="1"/>
  <c r="L182" i="1"/>
  <c r="N182" i="1"/>
  <c r="U182" i="1" s="1"/>
  <c r="T340" i="1"/>
  <c r="N340" i="1"/>
  <c r="U340" i="1" s="1"/>
  <c r="L411" i="1"/>
  <c r="N411" i="1"/>
  <c r="U411" i="1" s="1"/>
  <c r="L297" i="1"/>
  <c r="N297" i="1"/>
  <c r="U297" i="1" s="1"/>
  <c r="L655" i="1"/>
  <c r="N655" i="1"/>
  <c r="U655" i="1" s="1"/>
  <c r="L521" i="1"/>
  <c r="N521" i="1"/>
  <c r="U521" i="1" s="1"/>
  <c r="L441" i="1"/>
  <c r="N441" i="1"/>
  <c r="U441" i="1" s="1"/>
  <c r="L726" i="1"/>
  <c r="N726" i="1"/>
  <c r="U726" i="1" s="1"/>
  <c r="L395" i="1"/>
  <c r="N395" i="1"/>
  <c r="U395" i="1" s="1"/>
  <c r="L75" i="1"/>
  <c r="N75" i="1"/>
  <c r="U75" i="1" s="1"/>
  <c r="L377" i="1"/>
  <c r="N377" i="1"/>
  <c r="U377" i="1" s="1"/>
  <c r="L632" i="1"/>
  <c r="N632" i="1"/>
  <c r="U632" i="1" s="1"/>
  <c r="T442" i="1"/>
  <c r="N442" i="1"/>
  <c r="U442" i="1" s="1"/>
  <c r="L366" i="1"/>
  <c r="N366" i="1"/>
  <c r="U366" i="1" s="1"/>
  <c r="T237" i="1"/>
  <c r="N237" i="1"/>
  <c r="U237" i="1" s="1"/>
  <c r="T709" i="1"/>
  <c r="N709" i="1"/>
  <c r="U709" i="1" s="1"/>
  <c r="L459" i="1"/>
  <c r="N459" i="1"/>
  <c r="U459" i="1" s="1"/>
  <c r="T710" i="1"/>
  <c r="N710" i="1"/>
  <c r="U710" i="1" s="1"/>
  <c r="T87" i="1"/>
  <c r="N87" i="1"/>
  <c r="U87" i="1" s="1"/>
  <c r="T152" i="1"/>
  <c r="N152" i="1"/>
  <c r="U152" i="1" s="1"/>
  <c r="L565" i="1"/>
  <c r="N565" i="1"/>
  <c r="U565" i="1" s="1"/>
  <c r="L668" i="1"/>
  <c r="N668" i="1"/>
  <c r="U668" i="1" s="1"/>
  <c r="L298" i="1"/>
  <c r="N298" i="1"/>
  <c r="U298" i="1" s="1"/>
  <c r="L324" i="1"/>
  <c r="N324" i="1"/>
  <c r="U324" i="1" s="1"/>
  <c r="L590" i="1"/>
  <c r="N590" i="1"/>
  <c r="U590" i="1" s="1"/>
  <c r="L325" i="1"/>
  <c r="N325" i="1"/>
  <c r="U325" i="1" s="1"/>
  <c r="L711" i="1"/>
  <c r="N711" i="1"/>
  <c r="U711" i="1" s="1"/>
  <c r="T480" i="1"/>
  <c r="N480" i="1"/>
  <c r="U480" i="1" s="1"/>
  <c r="L428" i="1"/>
  <c r="N428" i="1"/>
  <c r="U428" i="1" s="1"/>
  <c r="T310" i="1"/>
  <c r="N310" i="1"/>
  <c r="U310" i="1" s="1"/>
  <c r="T322" i="1"/>
  <c r="N322" i="1"/>
  <c r="U322" i="1" s="1"/>
  <c r="L415" i="1"/>
  <c r="N415" i="1"/>
  <c r="U415" i="1" s="1"/>
  <c r="T592" i="1"/>
  <c r="N592" i="1"/>
  <c r="U592" i="1" s="1"/>
  <c r="T208" i="1"/>
  <c r="N208" i="1"/>
  <c r="U208" i="1" s="1"/>
  <c r="L550" i="1"/>
  <c r="N550" i="1"/>
  <c r="U550" i="1" s="1"/>
  <c r="L312" i="1"/>
  <c r="L364" i="1"/>
  <c r="N364" i="1"/>
  <c r="U364" i="1" s="1"/>
  <c r="T579" i="1"/>
  <c r="N579" i="1"/>
  <c r="U579" i="1" s="1"/>
  <c r="K648" i="1"/>
  <c r="M648" i="1" s="1"/>
  <c r="N648" i="1" s="1"/>
  <c r="U648" i="1" s="1"/>
  <c r="L323" i="1"/>
  <c r="N323" i="1"/>
  <c r="U323" i="1" s="1"/>
  <c r="L429" i="1"/>
  <c r="N429" i="1"/>
  <c r="U429" i="1" s="1"/>
  <c r="L592" i="1"/>
  <c r="T412" i="1"/>
  <c r="N412" i="1"/>
  <c r="U412" i="1" s="1"/>
  <c r="T681" i="1"/>
  <c r="N681" i="1"/>
  <c r="U681" i="1" s="1"/>
  <c r="K482" i="1"/>
  <c r="M482" i="1" s="1"/>
  <c r="N482" i="1" s="1"/>
  <c r="U482" i="1" s="1"/>
  <c r="K582" i="1"/>
  <c r="M582" i="1" s="1"/>
  <c r="N582" i="1" s="1"/>
  <c r="U582" i="1" s="1"/>
  <c r="T23" i="1"/>
  <c r="L379" i="1"/>
  <c r="N379" i="1"/>
  <c r="U379" i="1" s="1"/>
  <c r="L533" i="1"/>
  <c r="N533" i="1"/>
  <c r="U533" i="1" s="1"/>
  <c r="L607" i="1"/>
  <c r="N607" i="1"/>
  <c r="U607" i="1" s="1"/>
  <c r="L275" i="1"/>
  <c r="N275" i="1"/>
  <c r="U275" i="1" s="1"/>
  <c r="T248" i="1"/>
  <c r="N248" i="1"/>
  <c r="U248" i="1" s="1"/>
  <c r="L111" i="1"/>
  <c r="N111" i="1"/>
  <c r="U111" i="1" s="1"/>
  <c r="L140" i="1"/>
  <c r="N140" i="1"/>
  <c r="U140" i="1" s="1"/>
  <c r="L493" i="1"/>
  <c r="N493" i="1"/>
  <c r="U493" i="1" s="1"/>
  <c r="L552" i="1"/>
  <c r="N552" i="1"/>
  <c r="U552" i="1" s="1"/>
  <c r="L534" i="1"/>
  <c r="N534" i="1"/>
  <c r="U534" i="1" s="1"/>
  <c r="L397" i="1"/>
  <c r="N397" i="1"/>
  <c r="U397" i="1" s="1"/>
  <c r="L519" i="1"/>
  <c r="N519" i="1"/>
  <c r="U519" i="1" s="1"/>
  <c r="L445" i="1"/>
  <c r="N445" i="1"/>
  <c r="U445" i="1" s="1"/>
  <c r="L363" i="1"/>
  <c r="N363" i="1"/>
  <c r="U363" i="1" s="1"/>
  <c r="T492" i="1"/>
  <c r="N492" i="1"/>
  <c r="U492" i="1" s="1"/>
  <c r="L606" i="1"/>
  <c r="N606" i="1"/>
  <c r="U606" i="1" s="1"/>
  <c r="L339" i="1"/>
  <c r="N339" i="1"/>
  <c r="U339" i="1" s="1"/>
  <c r="T118" i="1"/>
  <c r="N118" i="1"/>
  <c r="U118" i="1" s="1"/>
  <c r="T378" i="1"/>
  <c r="N378" i="1"/>
  <c r="U378" i="1" s="1"/>
  <c r="T647" i="1"/>
  <c r="N647" i="1"/>
  <c r="U647" i="1" s="1"/>
  <c r="T682" i="1"/>
  <c r="N682" i="1"/>
  <c r="U682" i="1" s="1"/>
  <c r="T180" i="1"/>
  <c r="N180" i="1"/>
  <c r="U180" i="1" s="1"/>
  <c r="L309" i="1"/>
  <c r="N309" i="1"/>
  <c r="U309" i="1" s="1"/>
  <c r="T481" i="1"/>
  <c r="N481" i="1"/>
  <c r="U481" i="1" s="1"/>
  <c r="T621" i="1"/>
  <c r="N621" i="1"/>
  <c r="U621" i="1" s="1"/>
  <c r="L657" i="1"/>
  <c r="N657" i="1"/>
  <c r="U657" i="1" s="1"/>
  <c r="K496" i="1"/>
  <c r="M496" i="1" s="1"/>
  <c r="N496" i="1" s="1"/>
  <c r="U496" i="1" s="1"/>
  <c r="L23" i="1"/>
  <c r="L380" i="1"/>
  <c r="N380" i="1"/>
  <c r="U380" i="1" s="1"/>
  <c r="L478" i="1"/>
  <c r="N478" i="1"/>
  <c r="U478" i="1" s="1"/>
  <c r="T80" i="1"/>
  <c r="N80" i="1"/>
  <c r="U80" i="1" s="1"/>
  <c r="T244" i="1"/>
  <c r="N244" i="1"/>
  <c r="U244" i="1" s="1"/>
  <c r="L709" i="1"/>
  <c r="K659" i="1"/>
  <c r="M659" i="1" s="1"/>
  <c r="N659" i="1" s="1"/>
  <c r="U659" i="1" s="1"/>
  <c r="T441" i="1"/>
  <c r="K266" i="1"/>
  <c r="M266" i="1" s="1"/>
  <c r="N266" i="1" s="1"/>
  <c r="U266" i="1" s="1"/>
  <c r="L442" i="1"/>
  <c r="T298" i="1"/>
  <c r="T459" i="1"/>
  <c r="K301" i="1"/>
  <c r="M301" i="1" s="1"/>
  <c r="N301" i="1" s="1"/>
  <c r="U301" i="1" s="1"/>
  <c r="T668" i="1"/>
  <c r="K569" i="1"/>
  <c r="M569" i="1" s="1"/>
  <c r="T275" i="1"/>
  <c r="T445" i="1"/>
  <c r="L310" i="1"/>
  <c r="T297" i="1"/>
  <c r="T411" i="1"/>
  <c r="K148" i="1"/>
  <c r="M148" i="1" s="1"/>
  <c r="T111" i="1"/>
  <c r="T182" i="1"/>
  <c r="L326" i="1"/>
  <c r="L480" i="1"/>
  <c r="T534" i="1"/>
  <c r="T632" i="1"/>
  <c r="T395" i="1"/>
  <c r="T521" i="1"/>
  <c r="T415" i="1"/>
  <c r="T379" i="1"/>
  <c r="T493" i="1"/>
  <c r="K701" i="1"/>
  <c r="M701" i="1" s="1"/>
  <c r="L87" i="1"/>
  <c r="K331" i="1"/>
  <c r="M331" i="1" s="1"/>
  <c r="K447" i="1"/>
  <c r="M447" i="1" s="1"/>
  <c r="N447" i="1" s="1"/>
  <c r="U447" i="1" s="1"/>
  <c r="K432" i="1"/>
  <c r="M432" i="1" s="1"/>
  <c r="N432" i="1" s="1"/>
  <c r="U432" i="1" s="1"/>
  <c r="T726" i="1"/>
  <c r="T552" i="1"/>
  <c r="T606" i="1"/>
  <c r="K417" i="1"/>
  <c r="M417" i="1" s="1"/>
  <c r="T351" i="1"/>
  <c r="T364" i="1"/>
  <c r="T657" i="1"/>
  <c r="T140" i="1"/>
  <c r="L340" i="1"/>
  <c r="L80" i="1"/>
  <c r="L118" i="1"/>
  <c r="T309" i="1"/>
  <c r="T533" i="1"/>
  <c r="T377" i="1"/>
  <c r="L647" i="1"/>
  <c r="T75" i="1"/>
  <c r="T429" i="1"/>
  <c r="L681" i="1"/>
  <c r="K538" i="1"/>
  <c r="M538" i="1" s="1"/>
  <c r="K568" i="1"/>
  <c r="M568" i="1" s="1"/>
  <c r="K687" i="1"/>
  <c r="M687" i="1" s="1"/>
  <c r="T366" i="1"/>
  <c r="T478" i="1"/>
  <c r="T428" i="1"/>
  <c r="T380" i="1"/>
  <c r="K400" i="1"/>
  <c r="M400" i="1" s="1"/>
  <c r="K593" i="1"/>
  <c r="M593" i="1" s="1"/>
  <c r="K329" i="1"/>
  <c r="M329" i="1" s="1"/>
  <c r="T590" i="1"/>
  <c r="T607" i="1"/>
  <c r="T397" i="1"/>
  <c r="K416" i="1"/>
  <c r="M416" i="1" s="1"/>
  <c r="K511" i="1"/>
  <c r="M511" i="1" s="1"/>
  <c r="K136" i="1"/>
  <c r="M136" i="1" s="1"/>
  <c r="K717" i="1"/>
  <c r="M717" i="1" s="1"/>
  <c r="L492" i="1"/>
  <c r="T519" i="1"/>
  <c r="T323" i="1"/>
  <c r="T285" i="1"/>
  <c r="L412" i="1"/>
  <c r="T460" i="1"/>
  <c r="L248" i="1"/>
  <c r="T339" i="1"/>
  <c r="L378" i="1"/>
  <c r="L682" i="1"/>
  <c r="T363" i="1"/>
  <c r="T711" i="1"/>
  <c r="T325" i="1"/>
  <c r="L621" i="1"/>
  <c r="L322" i="1"/>
  <c r="T550" i="1"/>
  <c r="T324" i="1"/>
  <c r="T655" i="1"/>
  <c r="T565" i="1"/>
  <c r="L670" i="1"/>
  <c r="T670" i="1"/>
  <c r="L527" i="1"/>
  <c r="T527" i="1"/>
  <c r="T447" i="1"/>
  <c r="L530" i="1"/>
  <c r="T530" i="1"/>
  <c r="L144" i="1"/>
  <c r="T144" i="1"/>
  <c r="L218" i="1"/>
  <c r="T218" i="1"/>
  <c r="L614" i="1"/>
  <c r="T614" i="1"/>
  <c r="L88" i="1"/>
  <c r="T88" i="1"/>
  <c r="L547" i="1"/>
  <c r="T547" i="1"/>
  <c r="L602" i="1"/>
  <c r="T602" i="1"/>
  <c r="L132" i="1"/>
  <c r="T132" i="1"/>
  <c r="L327" i="1"/>
  <c r="T327" i="1"/>
  <c r="L138" i="1"/>
  <c r="T138" i="1"/>
  <c r="L663" i="1"/>
  <c r="T663" i="1"/>
  <c r="L151" i="1"/>
  <c r="T151" i="1"/>
  <c r="L577" i="1"/>
  <c r="T577" i="1"/>
  <c r="L440" i="1"/>
  <c r="T440" i="1"/>
  <c r="L104" i="1"/>
  <c r="T104" i="1"/>
  <c r="L516" i="1"/>
  <c r="T516" i="1"/>
  <c r="L189" i="1"/>
  <c r="T189" i="1"/>
  <c r="L291" i="1"/>
  <c r="T291" i="1"/>
  <c r="L721" i="1"/>
  <c r="T721" i="1"/>
  <c r="L694" i="1"/>
  <c r="T694" i="1"/>
  <c r="L103" i="1"/>
  <c r="T103" i="1"/>
  <c r="L114" i="1"/>
  <c r="T114" i="1"/>
  <c r="L409" i="1"/>
  <c r="T409" i="1"/>
  <c r="L576" i="1"/>
  <c r="T576" i="1"/>
  <c r="L308" i="1"/>
  <c r="T308" i="1"/>
  <c r="L455" i="1"/>
  <c r="T455" i="1"/>
  <c r="L486" i="1"/>
  <c r="T486" i="1"/>
  <c r="L185" i="1"/>
  <c r="T185" i="1"/>
  <c r="L346" i="1"/>
  <c r="T346" i="1"/>
  <c r="L45" i="1"/>
  <c r="T45" i="1"/>
  <c r="L512" i="1"/>
  <c r="T512" i="1"/>
  <c r="L30" i="1"/>
  <c r="T30" i="1"/>
  <c r="L22" i="1"/>
  <c r="T22" i="1"/>
  <c r="L641" i="1"/>
  <c r="T641" i="1"/>
  <c r="L229" i="1"/>
  <c r="T229" i="1"/>
  <c r="L697" i="1"/>
  <c r="T697" i="1"/>
  <c r="L34" i="1"/>
  <c r="T34" i="1"/>
  <c r="L720" i="1"/>
  <c r="T720" i="1"/>
  <c r="L184" i="1"/>
  <c r="T184" i="1"/>
  <c r="L609" i="1"/>
  <c r="T609" i="1"/>
  <c r="L473" i="1"/>
  <c r="T473" i="1"/>
  <c r="L242" i="1"/>
  <c r="T242" i="1"/>
  <c r="L722" i="1"/>
  <c r="T722" i="1"/>
  <c r="L456" i="1"/>
  <c r="T456" i="1"/>
  <c r="K658" i="1"/>
  <c r="M658" i="1" s="1"/>
  <c r="N658" i="1" s="1"/>
  <c r="U658" i="1" s="1"/>
  <c r="L215" i="1"/>
  <c r="T215" i="1"/>
  <c r="L562" i="1"/>
  <c r="T562" i="1"/>
  <c r="L264" i="1"/>
  <c r="T264" i="1"/>
  <c r="L359" i="1"/>
  <c r="T359" i="1"/>
  <c r="K40" i="1"/>
  <c r="M40" i="1" s="1"/>
  <c r="N40" i="1" s="1"/>
  <c r="U40" i="1" s="1"/>
  <c r="L396" i="1"/>
  <c r="T396" i="1"/>
  <c r="L622" i="1"/>
  <c r="T622" i="1"/>
  <c r="L495" i="1"/>
  <c r="T495" i="1"/>
  <c r="L293" i="1"/>
  <c r="T293" i="1"/>
  <c r="L358" i="1"/>
  <c r="T358" i="1"/>
  <c r="L11" i="1"/>
  <c r="T11" i="1"/>
  <c r="K290" i="1"/>
  <c r="M290" i="1" s="1"/>
  <c r="N290" i="1" s="1"/>
  <c r="U290" i="1" s="1"/>
  <c r="L375" i="1"/>
  <c r="T375" i="1"/>
  <c r="L197" i="1"/>
  <c r="T197" i="1"/>
  <c r="K402" i="1"/>
  <c r="M402" i="1" s="1"/>
  <c r="N402" i="1" s="1"/>
  <c r="U402" i="1" s="1"/>
  <c r="L76" i="1"/>
  <c r="T76" i="1"/>
  <c r="L56" i="1"/>
  <c r="T56" i="1"/>
  <c r="K555" i="1"/>
  <c r="M555" i="1" s="1"/>
  <c r="N555" i="1" s="1"/>
  <c r="U555" i="1" s="1"/>
  <c r="L536" i="1"/>
  <c r="T536" i="1"/>
  <c r="L133" i="1"/>
  <c r="T133" i="1"/>
  <c r="L286" i="1"/>
  <c r="T286" i="1"/>
  <c r="L139" i="1"/>
  <c r="T139" i="1"/>
  <c r="L435" i="1"/>
  <c r="T435" i="1"/>
  <c r="L190" i="1"/>
  <c r="T190" i="1"/>
  <c r="L444" i="1"/>
  <c r="T444" i="1"/>
  <c r="L271" i="1"/>
  <c r="T271" i="1"/>
  <c r="L644" i="1"/>
  <c r="T644" i="1"/>
  <c r="L394" i="1"/>
  <c r="T394" i="1"/>
  <c r="L679" i="1"/>
  <c r="T679" i="1"/>
  <c r="L306" i="1"/>
  <c r="T306" i="1"/>
  <c r="K173" i="1"/>
  <c r="M173" i="1" s="1"/>
  <c r="N173" i="1" s="1"/>
  <c r="U173" i="1" s="1"/>
  <c r="L362" i="1"/>
  <c r="T362" i="1"/>
  <c r="L231" i="1"/>
  <c r="T231" i="1"/>
  <c r="L392" i="1"/>
  <c r="T392" i="1"/>
  <c r="L227" i="1"/>
  <c r="T227" i="1"/>
  <c r="L457" i="1"/>
  <c r="T457" i="1"/>
  <c r="K388" i="1"/>
  <c r="M388" i="1" s="1"/>
  <c r="N388" i="1" s="1"/>
  <c r="U388" i="1" s="1"/>
  <c r="K369" i="1"/>
  <c r="M369" i="1" s="1"/>
  <c r="N369" i="1" s="1"/>
  <c r="U369" i="1" s="1"/>
  <c r="L705" i="1"/>
  <c r="T705" i="1"/>
  <c r="L35" i="1"/>
  <c r="T35" i="1"/>
  <c r="L506" i="1"/>
  <c r="T506" i="1"/>
  <c r="L603" i="1"/>
  <c r="T603" i="1"/>
  <c r="K433" i="1"/>
  <c r="M433" i="1" s="1"/>
  <c r="N433" i="1" s="1"/>
  <c r="U433" i="1" s="1"/>
  <c r="L54" i="1"/>
  <c r="T54" i="1"/>
  <c r="L723" i="1"/>
  <c r="T723" i="1"/>
  <c r="L108" i="1"/>
  <c r="T108" i="1"/>
  <c r="L676" i="1"/>
  <c r="T676" i="1"/>
  <c r="L662" i="1"/>
  <c r="T662" i="1"/>
  <c r="L347" i="1"/>
  <c r="T347" i="1"/>
  <c r="L344" i="1"/>
  <c r="T344" i="1"/>
  <c r="L73" i="1"/>
  <c r="T73" i="1"/>
  <c r="K624" i="1"/>
  <c r="M624" i="1" s="1"/>
  <c r="N624" i="1" s="1"/>
  <c r="U624" i="1" s="1"/>
  <c r="L145" i="1"/>
  <c r="T145" i="1"/>
  <c r="L181" i="1"/>
  <c r="T181" i="1"/>
  <c r="L253" i="1"/>
  <c r="T253" i="1"/>
  <c r="K626" i="1"/>
  <c r="M626" i="1" s="1"/>
  <c r="N626" i="1" s="1"/>
  <c r="U626" i="1" s="1"/>
  <c r="K467" i="1"/>
  <c r="M467" i="1" s="1"/>
  <c r="N467" i="1" s="1"/>
  <c r="U467" i="1" s="1"/>
  <c r="K635" i="1"/>
  <c r="M635" i="1" s="1"/>
  <c r="N635" i="1" s="1"/>
  <c r="U635" i="1" s="1"/>
  <c r="L443" i="1"/>
  <c r="T443" i="1"/>
  <c r="K571" i="1"/>
  <c r="M571" i="1" s="1"/>
  <c r="N571" i="1" s="1"/>
  <c r="U571" i="1" s="1"/>
  <c r="L338" i="1"/>
  <c r="T338" i="1"/>
  <c r="K542" i="1"/>
  <c r="M542" i="1" s="1"/>
  <c r="N542" i="1" s="1"/>
  <c r="U542" i="1" s="1"/>
  <c r="L235" i="1"/>
  <c r="T235" i="1"/>
  <c r="L328" i="1"/>
  <c r="T328" i="1"/>
  <c r="L437" i="1"/>
  <c r="T437" i="1"/>
  <c r="L280" i="1"/>
  <c r="T280" i="1"/>
  <c r="L620" i="1"/>
  <c r="T620" i="1"/>
  <c r="L605" i="1"/>
  <c r="T605" i="1"/>
  <c r="L654" i="1"/>
  <c r="T654" i="1"/>
  <c r="L211" i="1"/>
  <c r="T211" i="1"/>
  <c r="K636" i="1"/>
  <c r="M636" i="1" s="1"/>
  <c r="N636" i="1" s="1"/>
  <c r="U636" i="1" s="1"/>
  <c r="L703" i="1"/>
  <c r="T703" i="1"/>
  <c r="K583" i="1"/>
  <c r="M583" i="1" s="1"/>
  <c r="N583" i="1" s="1"/>
  <c r="U583" i="1" s="1"/>
  <c r="K19" i="1"/>
  <c r="M19" i="1" s="1"/>
  <c r="N19" i="1" s="1"/>
  <c r="U19" i="1" s="1"/>
  <c r="L29" i="1"/>
  <c r="T29" i="1"/>
  <c r="L105" i="1"/>
  <c r="T105" i="1"/>
  <c r="K434" i="1"/>
  <c r="M434" i="1" s="1"/>
  <c r="N434" i="1" s="1"/>
  <c r="U434" i="1" s="1"/>
  <c r="L584" i="1"/>
  <c r="T584" i="1"/>
  <c r="L372" i="1"/>
  <c r="T372" i="1"/>
  <c r="L335" i="1"/>
  <c r="T335" i="1"/>
  <c r="L24" i="1"/>
  <c r="T24" i="1"/>
  <c r="L381" i="1"/>
  <c r="T381" i="1"/>
  <c r="L544" i="1"/>
  <c r="T544" i="1"/>
  <c r="K595" i="1"/>
  <c r="M595" i="1" s="1"/>
  <c r="N595" i="1" s="1"/>
  <c r="U595" i="1" s="1"/>
  <c r="L535" i="1"/>
  <c r="T535" i="1"/>
  <c r="L134" i="1"/>
  <c r="T134" i="1"/>
  <c r="L204" i="1"/>
  <c r="T204" i="1"/>
  <c r="L695" i="1"/>
  <c r="T695" i="1"/>
  <c r="L427" i="1"/>
  <c r="T427" i="1"/>
  <c r="L154" i="1"/>
  <c r="T154" i="1"/>
  <c r="L531" i="1"/>
  <c r="T531" i="1"/>
  <c r="L491" i="1"/>
  <c r="T491" i="1"/>
  <c r="L15" i="1"/>
  <c r="T15" i="1"/>
  <c r="L25" i="1"/>
  <c r="T25" i="1"/>
  <c r="L330" i="1"/>
  <c r="T330" i="1"/>
  <c r="L257" i="1"/>
  <c r="T257" i="1"/>
  <c r="L462" i="1"/>
  <c r="T462" i="1"/>
  <c r="L115" i="1"/>
  <c r="T115" i="1"/>
  <c r="L470" i="1"/>
  <c r="T470" i="1"/>
  <c r="L130" i="1"/>
  <c r="T130" i="1"/>
  <c r="L142" i="1"/>
  <c r="T142" i="1"/>
  <c r="L383" i="1"/>
  <c r="T383" i="1"/>
  <c r="L410" i="1"/>
  <c r="T410" i="1"/>
  <c r="L725" i="1"/>
  <c r="T725" i="1"/>
  <c r="L27" i="1"/>
  <c r="T27" i="1"/>
  <c r="L613" i="1"/>
  <c r="T613" i="1"/>
  <c r="L150" i="1"/>
  <c r="T150" i="1"/>
  <c r="L249" i="1"/>
  <c r="T249" i="1"/>
  <c r="L161" i="1"/>
  <c r="T161" i="1"/>
  <c r="L48" i="1"/>
  <c r="T48" i="1"/>
  <c r="L240" i="1"/>
  <c r="T240" i="1"/>
  <c r="L141" i="1"/>
  <c r="T141" i="1"/>
  <c r="L224" i="1"/>
  <c r="T224" i="1"/>
  <c r="L266" i="1"/>
  <c r="T266" i="1"/>
  <c r="L563" i="1"/>
  <c r="T563" i="1"/>
  <c r="L522" i="1"/>
  <c r="T522" i="1"/>
  <c r="L304" i="1"/>
  <c r="T304" i="1"/>
  <c r="L163" i="1"/>
  <c r="T163" i="1"/>
  <c r="L37" i="1"/>
  <c r="T37" i="1"/>
  <c r="L232" i="1"/>
  <c r="T232" i="1"/>
  <c r="L195" i="1"/>
  <c r="T195" i="1"/>
  <c r="L106" i="1"/>
  <c r="T106" i="1"/>
  <c r="L198" i="1"/>
  <c r="T198" i="1"/>
  <c r="L7" i="1"/>
  <c r="T7" i="1"/>
  <c r="L696" i="1"/>
  <c r="T696" i="1"/>
  <c r="L63" i="1"/>
  <c r="T63" i="1"/>
  <c r="L604" i="1"/>
  <c r="T604" i="1"/>
  <c r="L438" i="1"/>
  <c r="T438" i="1"/>
  <c r="L119" i="1"/>
  <c r="T119" i="1"/>
  <c r="L254" i="1"/>
  <c r="T254" i="1"/>
  <c r="L99" i="1"/>
  <c r="T99" i="1"/>
  <c r="L209" i="1"/>
  <c r="T209" i="1"/>
  <c r="L667" i="1"/>
  <c r="T667" i="1"/>
  <c r="L517" i="1"/>
  <c r="T517" i="1"/>
  <c r="L199" i="1"/>
  <c r="T199" i="1"/>
  <c r="K431" i="1"/>
  <c r="M431" i="1" s="1"/>
  <c r="N431" i="1" s="1"/>
  <c r="U431" i="1" s="1"/>
  <c r="K57" i="1"/>
  <c r="M57" i="1" s="1"/>
  <c r="N57" i="1" s="1"/>
  <c r="U57" i="1" s="1"/>
  <c r="K498" i="1"/>
  <c r="M498" i="1" s="1"/>
  <c r="N498" i="1" s="1"/>
  <c r="U498" i="1" s="1"/>
  <c r="L513" i="1"/>
  <c r="T513" i="1"/>
  <c r="L202" i="1"/>
  <c r="T202" i="1"/>
  <c r="K686" i="1"/>
  <c r="M686" i="1" s="1"/>
  <c r="N686" i="1" s="1"/>
  <c r="U686" i="1" s="1"/>
  <c r="L281" i="1"/>
  <c r="T281" i="1"/>
  <c r="L212" i="1"/>
  <c r="T212" i="1"/>
  <c r="L611" i="1"/>
  <c r="T611" i="1"/>
  <c r="L612" i="1"/>
  <c r="T612" i="1"/>
  <c r="L678" i="1"/>
  <c r="T678" i="1"/>
  <c r="K597" i="1"/>
  <c r="M597" i="1" s="1"/>
  <c r="N597" i="1" s="1"/>
  <c r="U597" i="1" s="1"/>
  <c r="L319" i="1"/>
  <c r="T319" i="1"/>
  <c r="K483" i="1"/>
  <c r="M483" i="1" s="1"/>
  <c r="N483" i="1" s="1"/>
  <c r="U483" i="1" s="1"/>
  <c r="L238" i="1"/>
  <c r="T238" i="1"/>
  <c r="L250" i="1"/>
  <c r="T250" i="1"/>
  <c r="L489" i="1"/>
  <c r="T489" i="1"/>
  <c r="L20" i="1"/>
  <c r="T20" i="1"/>
  <c r="L336" i="1"/>
  <c r="T336" i="1"/>
  <c r="K660" i="1"/>
  <c r="M660" i="1" s="1"/>
  <c r="N660" i="1" s="1"/>
  <c r="U660" i="1" s="1"/>
  <c r="K484" i="1"/>
  <c r="M484" i="1" s="1"/>
  <c r="N484" i="1" s="1"/>
  <c r="U484" i="1" s="1"/>
  <c r="L207" i="1"/>
  <c r="T207" i="1"/>
  <c r="L549" i="1"/>
  <c r="T549" i="1"/>
  <c r="L390" i="1"/>
  <c r="T390" i="1"/>
  <c r="L382" i="1"/>
  <c r="T382" i="1"/>
  <c r="L305" i="1"/>
  <c r="T305" i="1"/>
  <c r="L191" i="1"/>
  <c r="T191" i="1"/>
  <c r="L153" i="1"/>
  <c r="T153" i="1"/>
  <c r="L295" i="1"/>
  <c r="T295" i="1"/>
  <c r="L526" i="1"/>
  <c r="T526" i="1"/>
  <c r="L126" i="1"/>
  <c r="T126" i="1"/>
  <c r="L393" i="1"/>
  <c r="T393" i="1"/>
  <c r="K625" i="1"/>
  <c r="M625" i="1" s="1"/>
  <c r="N625" i="1" s="1"/>
  <c r="U625" i="1" s="1"/>
  <c r="L628" i="1"/>
  <c r="T628" i="1"/>
  <c r="K594" i="1"/>
  <c r="M594" i="1" s="1"/>
  <c r="N594" i="1" s="1"/>
  <c r="U594" i="1" s="1"/>
  <c r="L414" i="1"/>
  <c r="T414" i="1"/>
  <c r="L213" i="1"/>
  <c r="T213" i="1"/>
  <c r="L398" i="1"/>
  <c r="T398" i="1"/>
  <c r="L719" i="1"/>
  <c r="T719" i="1"/>
  <c r="L666" i="1"/>
  <c r="T666" i="1"/>
  <c r="K485" i="1"/>
  <c r="M485" i="1" s="1"/>
  <c r="N485" i="1" s="1"/>
  <c r="U485" i="1" s="1"/>
  <c r="L490" i="1"/>
  <c r="T490" i="1"/>
  <c r="L350" i="1"/>
  <c r="T350" i="1"/>
  <c r="L95" i="1"/>
  <c r="T95" i="1"/>
  <c r="K287" i="1"/>
  <c r="M287" i="1" s="1"/>
  <c r="N287" i="1" s="1"/>
  <c r="U287" i="1" s="1"/>
  <c r="K627" i="1"/>
  <c r="M627" i="1" s="1"/>
  <c r="N627" i="1" s="1"/>
  <c r="U627" i="1" s="1"/>
  <c r="L66" i="1"/>
  <c r="T66" i="1"/>
  <c r="L345" i="1"/>
  <c r="T345" i="1"/>
  <c r="L52" i="1"/>
  <c r="T52" i="1"/>
  <c r="L558" i="1"/>
  <c r="T558" i="1"/>
  <c r="L256" i="1"/>
  <c r="T256" i="1"/>
  <c r="L352" i="1"/>
  <c r="T352" i="1"/>
  <c r="L688" i="1"/>
  <c r="T688" i="1"/>
  <c r="L26" i="1"/>
  <c r="T26" i="1"/>
  <c r="L32" i="1"/>
  <c r="T32" i="1"/>
  <c r="L70" i="1"/>
  <c r="T70" i="1"/>
  <c r="L376" i="1"/>
  <c r="T376" i="1"/>
  <c r="L389" i="1"/>
  <c r="T389" i="1"/>
  <c r="L623" i="1"/>
  <c r="T623" i="1"/>
  <c r="L230" i="1"/>
  <c r="T230" i="1"/>
  <c r="L267" i="1"/>
  <c r="T267" i="1"/>
  <c r="K404" i="1"/>
  <c r="M404" i="1" s="1"/>
  <c r="N404" i="1" s="1"/>
  <c r="U404" i="1" s="1"/>
  <c r="L42" i="1"/>
  <c r="T42" i="1"/>
  <c r="L545" i="1"/>
  <c r="T545" i="1"/>
  <c r="L564" i="1"/>
  <c r="T564" i="1"/>
  <c r="L546" i="1"/>
  <c r="T546" i="1"/>
  <c r="L477" i="1"/>
  <c r="T477" i="1"/>
  <c r="L640" i="1"/>
  <c r="T640" i="1"/>
  <c r="L585" i="1"/>
  <c r="T585" i="1"/>
  <c r="L64" i="1"/>
  <c r="T64" i="1"/>
  <c r="L646" i="1"/>
  <c r="T646" i="1"/>
  <c r="L690" i="1"/>
  <c r="T690" i="1"/>
  <c r="L349" i="1"/>
  <c r="T349" i="1"/>
  <c r="L560" i="1"/>
  <c r="T560" i="1"/>
  <c r="L600" i="1"/>
  <c r="T600" i="1"/>
  <c r="L617" i="1"/>
  <c r="T617" i="1"/>
  <c r="L680" i="1"/>
  <c r="T680" i="1"/>
  <c r="L137" i="1"/>
  <c r="T137" i="1"/>
  <c r="L174" i="1"/>
  <c r="T174" i="1"/>
  <c r="L408" i="1"/>
  <c r="T408" i="1"/>
  <c r="L165" i="1"/>
  <c r="T165" i="1"/>
  <c r="L123" i="1"/>
  <c r="T123" i="1"/>
  <c r="L12" i="1"/>
  <c r="T12" i="1"/>
  <c r="L159" i="1"/>
  <c r="T159" i="1"/>
  <c r="L515" i="1"/>
  <c r="T515" i="1"/>
  <c r="L187" i="1"/>
  <c r="T187" i="1"/>
  <c r="L500" i="1"/>
  <c r="T500" i="1"/>
  <c r="L149" i="1"/>
  <c r="T149" i="1"/>
  <c r="L219" i="1"/>
  <c r="T219" i="1"/>
  <c r="L450" i="1"/>
  <c r="T450" i="1"/>
  <c r="L135" i="1"/>
  <c r="T135" i="1"/>
  <c r="L353" i="1"/>
  <c r="T353" i="1"/>
  <c r="L333" i="1"/>
  <c r="T333" i="1"/>
  <c r="L122" i="1"/>
  <c r="T122" i="1"/>
  <c r="L559" i="1"/>
  <c r="T559" i="1"/>
  <c r="L334" i="1"/>
  <c r="T334" i="1"/>
  <c r="L643" i="1"/>
  <c r="T643" i="1"/>
  <c r="L586" i="1"/>
  <c r="T586" i="1"/>
  <c r="L475" i="1"/>
  <c r="T475" i="1"/>
  <c r="L661" i="1"/>
  <c r="T661" i="1"/>
  <c r="L360" i="1"/>
  <c r="T360" i="1"/>
  <c r="L91" i="1"/>
  <c r="T91" i="1"/>
  <c r="L472" i="1"/>
  <c r="T472" i="1"/>
  <c r="L471" i="1"/>
  <c r="T471" i="1"/>
  <c r="L251" i="1"/>
  <c r="T251" i="1"/>
  <c r="L674" i="1"/>
  <c r="T674" i="1"/>
  <c r="L520" i="1"/>
  <c r="T520" i="1"/>
  <c r="L265" i="1"/>
  <c r="T265" i="1"/>
  <c r="L468" i="1"/>
  <c r="T468" i="1"/>
  <c r="L46" i="1"/>
  <c r="T46" i="1"/>
  <c r="L90" i="1"/>
  <c r="T90" i="1"/>
  <c r="L365" i="1"/>
  <c r="T365" i="1"/>
  <c r="L615" i="1"/>
  <c r="T615" i="1"/>
  <c r="L321" i="1"/>
  <c r="T321" i="1"/>
  <c r="K596" i="1"/>
  <c r="M596" i="1" s="1"/>
  <c r="N596" i="1" s="1"/>
  <c r="U596" i="1" s="1"/>
  <c r="L357" i="1"/>
  <c r="T357" i="1"/>
  <c r="K672" i="1"/>
  <c r="M672" i="1" s="1"/>
  <c r="N672" i="1" s="1"/>
  <c r="U672" i="1" s="1"/>
  <c r="L469" i="1"/>
  <c r="T469" i="1"/>
  <c r="L299" i="1"/>
  <c r="T299" i="1"/>
  <c r="L501" i="1"/>
  <c r="T501" i="1"/>
  <c r="L36" i="1"/>
  <c r="T36" i="1"/>
  <c r="L384" i="1"/>
  <c r="T384" i="1"/>
  <c r="L201" i="1"/>
  <c r="T201" i="1"/>
  <c r="L413" i="1"/>
  <c r="T413" i="1"/>
  <c r="L318" i="1"/>
  <c r="T318" i="1"/>
  <c r="K716" i="1"/>
  <c r="M716" i="1" s="1"/>
  <c r="N716" i="1" s="1"/>
  <c r="U716" i="1" s="1"/>
  <c r="L631" i="1"/>
  <c r="T631" i="1"/>
  <c r="L474" i="1"/>
  <c r="T474" i="1"/>
  <c r="K449" i="1"/>
  <c r="M449" i="1" s="1"/>
  <c r="N449" i="1" s="1"/>
  <c r="U449" i="1" s="1"/>
  <c r="L479" i="1"/>
  <c r="T479" i="1"/>
  <c r="L78" i="1"/>
  <c r="T78" i="1"/>
  <c r="L270" i="1"/>
  <c r="T270" i="1"/>
  <c r="L406" i="1"/>
  <c r="T406" i="1"/>
  <c r="L203" i="1"/>
  <c r="T203" i="1"/>
  <c r="L683" i="1"/>
  <c r="T683" i="1"/>
  <c r="L307" i="1"/>
  <c r="T307" i="1"/>
  <c r="K288" i="1"/>
  <c r="M288" i="1" s="1"/>
  <c r="N288" i="1" s="1"/>
  <c r="U288" i="1" s="1"/>
  <c r="K553" i="1"/>
  <c r="M553" i="1" s="1"/>
  <c r="N553" i="1" s="1"/>
  <c r="U553" i="1" s="1"/>
  <c r="L454" i="1"/>
  <c r="T454" i="1"/>
  <c r="L630" i="1"/>
  <c r="T630" i="1"/>
  <c r="K702" i="1"/>
  <c r="M702" i="1" s="1"/>
  <c r="N702" i="1" s="1"/>
  <c r="U702" i="1" s="1"/>
  <c r="L619" i="1"/>
  <c r="T619" i="1"/>
  <c r="L591" i="1"/>
  <c r="T591" i="1"/>
  <c r="L504" i="1"/>
  <c r="T504" i="1"/>
  <c r="K580" i="1"/>
  <c r="M580" i="1" s="1"/>
  <c r="N580" i="1" s="1"/>
  <c r="U580" i="1" s="1"/>
  <c r="L102" i="1"/>
  <c r="T102" i="1"/>
  <c r="L17" i="1"/>
  <c r="T17" i="1"/>
  <c r="L436" i="1"/>
  <c r="T436" i="1"/>
  <c r="L9" i="1"/>
  <c r="T9" i="1"/>
  <c r="K387" i="1"/>
  <c r="M387" i="1" s="1"/>
  <c r="N387" i="1" s="1"/>
  <c r="U387" i="1" s="1"/>
  <c r="L223" i="1"/>
  <c r="T223" i="1"/>
  <c r="L656" i="1"/>
  <c r="T656" i="1"/>
  <c r="L629" i="1"/>
  <c r="T629" i="1"/>
  <c r="L391" i="1"/>
  <c r="T391" i="1"/>
  <c r="L14" i="1"/>
  <c r="T14" i="1"/>
  <c r="K715" i="1"/>
  <c r="M715" i="1" s="1"/>
  <c r="N715" i="1" s="1"/>
  <c r="U715" i="1" s="1"/>
  <c r="L488" i="1"/>
  <c r="T488" i="1"/>
  <c r="L60" i="1"/>
  <c r="T60" i="1"/>
  <c r="L556" i="1"/>
  <c r="T556" i="1"/>
  <c r="L49" i="1"/>
  <c r="T49" i="1"/>
  <c r="K466" i="1"/>
  <c r="M466" i="1" s="1"/>
  <c r="N466" i="1" s="1"/>
  <c r="U466" i="1" s="1"/>
  <c r="K289" i="1"/>
  <c r="M289" i="1" s="1"/>
  <c r="N289" i="1" s="1"/>
  <c r="U289" i="1" s="1"/>
  <c r="K315" i="1"/>
  <c r="M315" i="1" s="1"/>
  <c r="N315" i="1" s="1"/>
  <c r="U315" i="1" s="1"/>
  <c r="L637" i="1"/>
  <c r="T637" i="1"/>
  <c r="L707" i="1"/>
  <c r="T707" i="1"/>
  <c r="L194" i="1"/>
  <c r="T194" i="1"/>
  <c r="L128" i="1"/>
  <c r="T128" i="1"/>
  <c r="L125" i="1"/>
  <c r="T125" i="1"/>
  <c r="L117" i="1"/>
  <c r="T117" i="1"/>
  <c r="L649" i="1"/>
  <c r="T649" i="1"/>
  <c r="L652" i="1"/>
  <c r="T652" i="1"/>
  <c r="L361" i="1"/>
  <c r="T361" i="1"/>
  <c r="L258" i="1"/>
  <c r="T258" i="1"/>
  <c r="K355" i="1"/>
  <c r="M355" i="1" s="1"/>
  <c r="N355" i="1" s="1"/>
  <c r="U355" i="1" s="1"/>
  <c r="L588" i="1"/>
  <c r="T588" i="1"/>
  <c r="L234" i="1"/>
  <c r="T234" i="1"/>
  <c r="L487" i="1"/>
  <c r="T487" i="1"/>
  <c r="K510" i="1"/>
  <c r="M510" i="1" s="1"/>
  <c r="N510" i="1" s="1"/>
  <c r="U510" i="1" s="1"/>
  <c r="L112" i="1"/>
  <c r="T112" i="1"/>
  <c r="L598" i="1"/>
  <c r="T598" i="1"/>
  <c r="L557" i="1"/>
  <c r="T557" i="1"/>
  <c r="L233" i="1"/>
  <c r="T233" i="1"/>
  <c r="L374" i="1"/>
  <c r="T374" i="1"/>
  <c r="L638" i="1"/>
  <c r="T638" i="1"/>
  <c r="L421" i="1"/>
  <c r="T421" i="1"/>
  <c r="K430" i="1"/>
  <c r="M430" i="1" s="1"/>
  <c r="N430" i="1" s="1"/>
  <c r="U430" i="1" s="1"/>
  <c r="L566" i="1"/>
  <c r="T566" i="1"/>
  <c r="L567" i="1"/>
  <c r="T567" i="1"/>
  <c r="L424" i="1"/>
  <c r="T424" i="1"/>
  <c r="L156" i="1"/>
  <c r="T156" i="1"/>
  <c r="L548" i="1"/>
  <c r="T548" i="1"/>
  <c r="L83" i="1"/>
  <c r="T83" i="1"/>
  <c r="L206" i="1"/>
  <c r="T206" i="1"/>
  <c r="K572" i="1"/>
  <c r="M572" i="1" s="1"/>
  <c r="N572" i="1" s="1"/>
  <c r="U572" i="1" s="1"/>
  <c r="L157" i="1"/>
  <c r="T157" i="1"/>
  <c r="L81" i="1"/>
  <c r="T81" i="1"/>
  <c r="L239" i="1"/>
  <c r="T239" i="1"/>
  <c r="L587" i="1"/>
  <c r="T587" i="1"/>
  <c r="K313" i="1"/>
  <c r="M313" i="1" s="1"/>
  <c r="N313" i="1" s="1"/>
  <c r="U313" i="1" s="1"/>
  <c r="K367" i="1"/>
  <c r="M367" i="1" s="1"/>
  <c r="N367" i="1" s="1"/>
  <c r="U367" i="1" s="1"/>
  <c r="K47" i="1"/>
  <c r="M47" i="1" s="1"/>
  <c r="N47" i="1" s="1"/>
  <c r="U47" i="1" s="1"/>
  <c r="K277" i="1"/>
  <c r="M277" i="1" s="1"/>
  <c r="N277" i="1" s="1"/>
  <c r="U277" i="1" s="1"/>
  <c r="K155" i="1"/>
  <c r="M155" i="1" s="1"/>
  <c r="N155" i="1" s="1"/>
  <c r="U155" i="1" s="1"/>
  <c r="K13" i="1"/>
  <c r="M13" i="1" s="1"/>
  <c r="N13" i="1" s="1"/>
  <c r="U13" i="1" s="1"/>
  <c r="K509" i="1"/>
  <c r="M509" i="1" s="1"/>
  <c r="N509" i="1" s="1"/>
  <c r="U509" i="1" s="1"/>
  <c r="K33" i="1"/>
  <c r="M33" i="1" s="1"/>
  <c r="N33" i="1" s="1"/>
  <c r="U33" i="1" s="1"/>
  <c r="K107" i="1"/>
  <c r="M107" i="1" s="1"/>
  <c r="N107" i="1" s="1"/>
  <c r="U107" i="1" s="1"/>
  <c r="K385" i="1"/>
  <c r="M385" i="1" s="1"/>
  <c r="N385" i="1" s="1"/>
  <c r="U385" i="1" s="1"/>
  <c r="K28" i="1"/>
  <c r="M28" i="1" s="1"/>
  <c r="N28" i="1" s="1"/>
  <c r="U28" i="1" s="1"/>
  <c r="K537" i="1"/>
  <c r="M537" i="1" s="1"/>
  <c r="N537" i="1" s="1"/>
  <c r="U537" i="1" s="1"/>
  <c r="K169" i="1"/>
  <c r="M169" i="1" s="1"/>
  <c r="N169" i="1" s="1"/>
  <c r="U169" i="1" s="1"/>
  <c r="K79" i="1"/>
  <c r="M79" i="1" s="1"/>
  <c r="N79" i="1" s="1"/>
  <c r="U79" i="1" s="1"/>
  <c r="K38" i="1"/>
  <c r="M38" i="1" s="1"/>
  <c r="N38" i="1" s="1"/>
  <c r="U38" i="1" s="1"/>
  <c r="K171" i="1"/>
  <c r="M171" i="1" s="1"/>
  <c r="N171" i="1" s="1"/>
  <c r="U171" i="1" s="1"/>
  <c r="K77" i="1"/>
  <c r="M77" i="1" s="1"/>
  <c r="N77" i="1" s="1"/>
  <c r="U77" i="1" s="1"/>
  <c r="K71" i="1"/>
  <c r="M71" i="1" s="1"/>
  <c r="N71" i="1" s="1"/>
  <c r="U71" i="1" s="1"/>
  <c r="K170" i="1"/>
  <c r="M170" i="1" s="1"/>
  <c r="N170" i="1" s="1"/>
  <c r="U170" i="1" s="1"/>
  <c r="K55" i="1"/>
  <c r="M55" i="1" s="1"/>
  <c r="N55" i="1" s="1"/>
  <c r="U55" i="1" s="1"/>
  <c r="K608" i="1"/>
  <c r="M608" i="1" s="1"/>
  <c r="N608" i="1" s="1"/>
  <c r="U608" i="1" s="1"/>
  <c r="K89" i="1"/>
  <c r="M89" i="1" s="1"/>
  <c r="N89" i="1" s="1"/>
  <c r="U89" i="1" s="1"/>
  <c r="K178" i="1"/>
  <c r="M178" i="1" s="1"/>
  <c r="N178" i="1" s="1"/>
  <c r="U178" i="1" s="1"/>
  <c r="K276" i="1"/>
  <c r="M276" i="1" s="1"/>
  <c r="N276" i="1" s="1"/>
  <c r="U276" i="1" s="1"/>
  <c r="K176" i="1"/>
  <c r="M176" i="1" s="1"/>
  <c r="N176" i="1" s="1"/>
  <c r="U176" i="1" s="1"/>
  <c r="K86" i="1"/>
  <c r="M86" i="1" s="1"/>
  <c r="N86" i="1" s="1"/>
  <c r="U86" i="1" s="1"/>
  <c r="K82" i="1"/>
  <c r="M82" i="1" s="1"/>
  <c r="N82" i="1" s="1"/>
  <c r="U82" i="1" s="1"/>
  <c r="K5" i="1"/>
  <c r="M5" i="1" s="1"/>
  <c r="N5" i="1" s="1"/>
  <c r="U5" i="1" s="1"/>
  <c r="K67" i="1"/>
  <c r="M67" i="1" s="1"/>
  <c r="N67" i="1" s="1"/>
  <c r="U67" i="1" s="1"/>
  <c r="K101" i="1"/>
  <c r="M101" i="1" s="1"/>
  <c r="N101" i="1" s="1"/>
  <c r="U101" i="1" s="1"/>
  <c r="K464" i="1"/>
  <c r="M464" i="1" s="1"/>
  <c r="N464" i="1" s="1"/>
  <c r="U464" i="1" s="1"/>
  <c r="K62" i="1"/>
  <c r="M62" i="1" s="1"/>
  <c r="N62" i="1" s="1"/>
  <c r="U62" i="1" s="1"/>
  <c r="K10" i="1"/>
  <c r="M10" i="1" s="1"/>
  <c r="N10" i="1" s="1"/>
  <c r="U10" i="1" s="1"/>
  <c r="K44" i="1"/>
  <c r="M44" i="1" s="1"/>
  <c r="N44" i="1" s="1"/>
  <c r="U44" i="1" s="1"/>
  <c r="K129" i="1"/>
  <c r="M129" i="1" s="1"/>
  <c r="N129" i="1" s="1"/>
  <c r="U129" i="1" s="1"/>
  <c r="K714" i="1"/>
  <c r="M714" i="1" s="1"/>
  <c r="N714" i="1" s="1"/>
  <c r="U714" i="1" s="1"/>
  <c r="K16" i="1"/>
  <c r="M16" i="1" s="1"/>
  <c r="N16" i="1" s="1"/>
  <c r="U16" i="1" s="1"/>
  <c r="K243" i="1"/>
  <c r="M243" i="1" s="1"/>
  <c r="N243" i="1" s="1"/>
  <c r="U243" i="1" s="1"/>
  <c r="K3" i="1"/>
  <c r="M3" i="1" s="1"/>
  <c r="N3" i="1" s="1"/>
  <c r="U3" i="1" s="1"/>
  <c r="K255" i="1"/>
  <c r="M255" i="1" s="1"/>
  <c r="N255" i="1" s="1"/>
  <c r="U255" i="1" s="1"/>
  <c r="K51" i="1"/>
  <c r="M51" i="1" s="1"/>
  <c r="N51" i="1" s="1"/>
  <c r="U51" i="1" s="1"/>
  <c r="K386" i="1"/>
  <c r="M386" i="1" s="1"/>
  <c r="N386" i="1" s="1"/>
  <c r="U386" i="1" s="1"/>
  <c r="K121" i="1"/>
  <c r="M121" i="1" s="1"/>
  <c r="N121" i="1" s="1"/>
  <c r="U121" i="1" s="1"/>
  <c r="K179" i="1"/>
  <c r="M179" i="1" s="1"/>
  <c r="N179" i="1" s="1"/>
  <c r="U179" i="1" s="1"/>
  <c r="K172" i="1"/>
  <c r="M172" i="1" s="1"/>
  <c r="N172" i="1" s="1"/>
  <c r="U172" i="1" s="1"/>
  <c r="K685" i="1"/>
  <c r="M685" i="1" s="1"/>
  <c r="N685" i="1" s="1"/>
  <c r="U685" i="1" s="1"/>
  <c r="K4" i="1"/>
  <c r="M4" i="1" s="1"/>
  <c r="N4" i="1" s="1"/>
  <c r="U4" i="1" s="1"/>
  <c r="K72" i="1"/>
  <c r="M72" i="1" s="1"/>
  <c r="N72" i="1" s="1"/>
  <c r="U72" i="1" s="1"/>
  <c r="K65" i="1"/>
  <c r="M65" i="1" s="1"/>
  <c r="N65" i="1" s="1"/>
  <c r="U65" i="1" s="1"/>
  <c r="K523" i="1"/>
  <c r="M523" i="1" s="1"/>
  <c r="N523" i="1" s="1"/>
  <c r="U523" i="1" s="1"/>
  <c r="K581" i="1"/>
  <c r="M581" i="1" s="1"/>
  <c r="N581" i="1" s="1"/>
  <c r="U581" i="1" s="1"/>
  <c r="K6" i="1"/>
  <c r="M6" i="1" s="1"/>
  <c r="N6" i="1" s="1"/>
  <c r="U6" i="1" s="1"/>
  <c r="K59" i="1"/>
  <c r="M59" i="1" s="1"/>
  <c r="N59" i="1" s="1"/>
  <c r="U59" i="1" s="1"/>
  <c r="K8" i="1"/>
  <c r="M8" i="1" s="1"/>
  <c r="N8" i="1" s="1"/>
  <c r="U8" i="1" s="1"/>
  <c r="K356" i="1"/>
  <c r="M356" i="1" s="1"/>
  <c r="N356" i="1" s="1"/>
  <c r="U356" i="1" s="1"/>
  <c r="K300" i="1"/>
  <c r="M300" i="1" s="1"/>
  <c r="N300" i="1" s="1"/>
  <c r="U300" i="1" s="1"/>
  <c r="K21" i="1"/>
  <c r="M21" i="1" s="1"/>
  <c r="N21" i="1" s="1"/>
  <c r="U21" i="1" s="1"/>
  <c r="K354" i="1"/>
  <c r="M354" i="1" s="1"/>
  <c r="N354" i="1" s="1"/>
  <c r="U354" i="1" s="1"/>
  <c r="K671" i="1"/>
  <c r="M671" i="1" s="1"/>
  <c r="N671" i="1" s="1"/>
  <c r="U671" i="1" s="1"/>
  <c r="K260" i="1"/>
  <c r="M260" i="1" s="1"/>
  <c r="N260" i="1" s="1"/>
  <c r="U260" i="1" s="1"/>
  <c r="K177" i="1"/>
  <c r="M177" i="1" s="1"/>
  <c r="N177" i="1" s="1"/>
  <c r="U177" i="1" s="1"/>
  <c r="AB18" i="1" a="1"/>
  <c r="AB18" i="1" s="1"/>
  <c r="L152" i="1"/>
  <c r="AB19" i="1" a="1"/>
  <c r="AB19" i="1" s="1"/>
  <c r="AB20" i="1" a="1"/>
  <c r="AB20" i="1" s="1"/>
  <c r="L208" i="1"/>
  <c r="L237" i="1"/>
  <c r="K502" i="1"/>
  <c r="M502" i="1" s="1"/>
  <c r="N502" i="1" s="1"/>
  <c r="U502" i="1" s="1"/>
  <c r="K39" i="1"/>
  <c r="M39" i="1" s="1"/>
  <c r="N39" i="1" s="1"/>
  <c r="U39" i="1" s="1"/>
  <c r="K220" i="1"/>
  <c r="M220" i="1" s="1"/>
  <c r="N220" i="1" s="1"/>
  <c r="U220" i="1" s="1"/>
  <c r="K651" i="1"/>
  <c r="M651" i="1" s="1"/>
  <c r="N651" i="1" s="1"/>
  <c r="U651" i="1" s="1"/>
  <c r="K724" i="1"/>
  <c r="M724" i="1" s="1"/>
  <c r="N724" i="1" s="1"/>
  <c r="U724" i="1" s="1"/>
  <c r="K113" i="1"/>
  <c r="M113" i="1" s="1"/>
  <c r="N113" i="1" s="1"/>
  <c r="U113" i="1" s="1"/>
  <c r="K160" i="1"/>
  <c r="M160" i="1" s="1"/>
  <c r="N160" i="1" s="1"/>
  <c r="U160" i="1" s="1"/>
  <c r="K653" i="1"/>
  <c r="M653" i="1" s="1"/>
  <c r="N653" i="1" s="1"/>
  <c r="U653" i="1" s="1"/>
  <c r="K236" i="1"/>
  <c r="M236" i="1" s="1"/>
  <c r="N236" i="1" s="1"/>
  <c r="U236" i="1" s="1"/>
  <c r="K425" i="1"/>
  <c r="M425" i="1" s="1"/>
  <c r="N425" i="1" s="1"/>
  <c r="U425" i="1" s="1"/>
  <c r="K259" i="1"/>
  <c r="M259" i="1" s="1"/>
  <c r="N259" i="1" s="1"/>
  <c r="U259" i="1" s="1"/>
  <c r="K700" i="1"/>
  <c r="M700" i="1" s="1"/>
  <c r="N700" i="1" s="1"/>
  <c r="U700" i="1" s="1"/>
  <c r="K689" i="1"/>
  <c r="M689" i="1" s="1"/>
  <c r="N689" i="1" s="1"/>
  <c r="U689" i="1" s="1"/>
  <c r="K124" i="1"/>
  <c r="M124" i="1" s="1"/>
  <c r="N124" i="1" s="1"/>
  <c r="U124" i="1" s="1"/>
  <c r="K692" i="1"/>
  <c r="M692" i="1" s="1"/>
  <c r="N692" i="1" s="1"/>
  <c r="U692" i="1" s="1"/>
  <c r="K221" i="1"/>
  <c r="M221" i="1" s="1"/>
  <c r="N221" i="1" s="1"/>
  <c r="U221" i="1" s="1"/>
  <c r="K263" i="1"/>
  <c r="M263" i="1" s="1"/>
  <c r="N263" i="1" s="1"/>
  <c r="U263" i="1" s="1"/>
  <c r="K278" i="1"/>
  <c r="M278" i="1" s="1"/>
  <c r="N278" i="1" s="1"/>
  <c r="U278" i="1" s="1"/>
  <c r="K540" i="1"/>
  <c r="M540" i="1" s="1"/>
  <c r="N540" i="1" s="1"/>
  <c r="U540" i="1" s="1"/>
  <c r="K245" i="1"/>
  <c r="M245" i="1" s="1"/>
  <c r="N245" i="1" s="1"/>
  <c r="U245" i="1" s="1"/>
  <c r="K704" i="1"/>
  <c r="M704" i="1" s="1"/>
  <c r="N704" i="1" s="1"/>
  <c r="U704" i="1" s="1"/>
  <c r="K68" i="1"/>
  <c r="M68" i="1" s="1"/>
  <c r="K673" i="1"/>
  <c r="M673" i="1" s="1"/>
  <c r="N673" i="1" s="1"/>
  <c r="U673" i="1" s="1"/>
  <c r="K225" i="1"/>
  <c r="M225" i="1" s="1"/>
  <c r="N225" i="1" s="1"/>
  <c r="U225" i="1" s="1"/>
  <c r="K342" i="1"/>
  <c r="M342" i="1" s="1"/>
  <c r="N342" i="1" s="1"/>
  <c r="U342" i="1" s="1"/>
  <c r="K420" i="1"/>
  <c r="M420" i="1" s="1"/>
  <c r="N420" i="1" s="1"/>
  <c r="U420" i="1" s="1"/>
  <c r="K210" i="1"/>
  <c r="M210" i="1" s="1"/>
  <c r="K143" i="1"/>
  <c r="M143" i="1" s="1"/>
  <c r="N143" i="1" s="1"/>
  <c r="U143" i="1" s="1"/>
  <c r="K58" i="1"/>
  <c r="M58" i="1" s="1"/>
  <c r="N58" i="1" s="1"/>
  <c r="U58" i="1" s="1"/>
  <c r="K241" i="1"/>
  <c r="M241" i="1" s="1"/>
  <c r="N241" i="1" s="1"/>
  <c r="U241" i="1" s="1"/>
  <c r="K341" i="1"/>
  <c r="M341" i="1" s="1"/>
  <c r="N341" i="1" s="1"/>
  <c r="U341" i="1" s="1"/>
  <c r="K476" i="1"/>
  <c r="M476" i="1" s="1"/>
  <c r="N476" i="1" s="1"/>
  <c r="U476" i="1" s="1"/>
  <c r="K370" i="1"/>
  <c r="M370" i="1" s="1"/>
  <c r="N370" i="1" s="1"/>
  <c r="U370" i="1" s="1"/>
  <c r="K574" i="1"/>
  <c r="M574" i="1" s="1"/>
  <c r="N574" i="1" s="1"/>
  <c r="U574" i="1" s="1"/>
  <c r="K419" i="1"/>
  <c r="M419" i="1" s="1"/>
  <c r="N419" i="1" s="1"/>
  <c r="U419" i="1" s="1"/>
  <c r="K452" i="1"/>
  <c r="M452" i="1" s="1"/>
  <c r="N452" i="1" s="1"/>
  <c r="U452" i="1" s="1"/>
  <c r="K314" i="1"/>
  <c r="M314" i="1" s="1"/>
  <c r="N314" i="1" s="1"/>
  <c r="U314" i="1" s="1"/>
  <c r="K93" i="1"/>
  <c r="M93" i="1" s="1"/>
  <c r="N93" i="1" s="1"/>
  <c r="U93" i="1" s="1"/>
  <c r="K665" i="1"/>
  <c r="M665" i="1" s="1"/>
  <c r="N665" i="1" s="1"/>
  <c r="U665" i="1" s="1"/>
  <c r="K499" i="1"/>
  <c r="M499" i="1" s="1"/>
  <c r="N499" i="1" s="1"/>
  <c r="U499" i="1" s="1"/>
  <c r="K164" i="1"/>
  <c r="M164" i="1" s="1"/>
  <c r="N164" i="1" s="1"/>
  <c r="U164" i="1" s="1"/>
  <c r="K84" i="1"/>
  <c r="M84" i="1" s="1"/>
  <c r="N84" i="1" s="1"/>
  <c r="U84" i="1" s="1"/>
  <c r="K401" i="1"/>
  <c r="M401" i="1" s="1"/>
  <c r="N401" i="1" s="1"/>
  <c r="U401" i="1" s="1"/>
  <c r="K664" i="1"/>
  <c r="M664" i="1" s="1"/>
  <c r="N664" i="1" s="1"/>
  <c r="U664" i="1" s="1"/>
  <c r="K570" i="1"/>
  <c r="M570" i="1" s="1"/>
  <c r="N570" i="1" s="1"/>
  <c r="U570" i="1" s="1"/>
  <c r="K448" i="1"/>
  <c r="M448" i="1" s="1"/>
  <c r="N448" i="1" s="1"/>
  <c r="U448" i="1" s="1"/>
  <c r="K175" i="1"/>
  <c r="M175" i="1" s="1"/>
  <c r="N175" i="1" s="1"/>
  <c r="U175" i="1" s="1"/>
  <c r="K639" i="1"/>
  <c r="M639" i="1" s="1"/>
  <c r="N639" i="1" s="1"/>
  <c r="U639" i="1" s="1"/>
  <c r="K222" i="1"/>
  <c r="M222" i="1" s="1"/>
  <c r="K618" i="1"/>
  <c r="M618" i="1" s="1"/>
  <c r="N618" i="1" s="1"/>
  <c r="U618" i="1" s="1"/>
  <c r="K541" i="1"/>
  <c r="M541" i="1" s="1"/>
  <c r="N541" i="1" s="1"/>
  <c r="U541" i="1" s="1"/>
  <c r="K302" i="1"/>
  <c r="M302" i="1" s="1"/>
  <c r="N302" i="1" s="1"/>
  <c r="U302" i="1" s="1"/>
  <c r="K18" i="1"/>
  <c r="M18" i="1" s="1"/>
  <c r="N18" i="1" s="1"/>
  <c r="U18" i="1" s="1"/>
  <c r="K41" i="1"/>
  <c r="M41" i="1" s="1"/>
  <c r="N41" i="1" s="1"/>
  <c r="U41" i="1" s="1"/>
  <c r="K272" i="1"/>
  <c r="M272" i="1" s="1"/>
  <c r="N272" i="1" s="1"/>
  <c r="U272" i="1" s="1"/>
  <c r="K503" i="1"/>
  <c r="M503" i="1" s="1"/>
  <c r="N503" i="1" s="1"/>
  <c r="U503" i="1" s="1"/>
  <c r="K100" i="1"/>
  <c r="M100" i="1" s="1"/>
  <c r="N100" i="1" s="1"/>
  <c r="U100" i="1" s="1"/>
  <c r="K116" i="1"/>
  <c r="M116" i="1" s="1"/>
  <c r="N116" i="1" s="1"/>
  <c r="U116" i="1" s="1"/>
  <c r="K284" i="1"/>
  <c r="M284" i="1" s="1"/>
  <c r="N284" i="1" s="1"/>
  <c r="U284" i="1" s="1"/>
  <c r="K426" i="1"/>
  <c r="M426" i="1" s="1"/>
  <c r="N426" i="1" s="1"/>
  <c r="U426" i="1" s="1"/>
  <c r="K514" i="1"/>
  <c r="M514" i="1" s="1"/>
  <c r="N514" i="1" s="1"/>
  <c r="U514" i="1" s="1"/>
  <c r="K599" i="1"/>
  <c r="M599" i="1" s="1"/>
  <c r="N599" i="1" s="1"/>
  <c r="U599" i="1" s="1"/>
  <c r="K316" i="1"/>
  <c r="M316" i="1" s="1"/>
  <c r="N316" i="1" s="1"/>
  <c r="U316" i="1" s="1"/>
  <c r="K166" i="1"/>
  <c r="M166" i="1" s="1"/>
  <c r="N166" i="1" s="1"/>
  <c r="U166" i="1" s="1"/>
  <c r="K494" i="1"/>
  <c r="M494" i="1" s="1"/>
  <c r="N494" i="1" s="1"/>
  <c r="U494" i="1" s="1"/>
  <c r="K109" i="1"/>
  <c r="M109" i="1" s="1"/>
  <c r="N109" i="1" s="1"/>
  <c r="U109" i="1" s="1"/>
  <c r="K294" i="1"/>
  <c r="M294" i="1" s="1"/>
  <c r="N294" i="1" s="1"/>
  <c r="U294" i="1" s="1"/>
  <c r="K61" i="1"/>
  <c r="M61" i="1" s="1"/>
  <c r="N61" i="1" s="1"/>
  <c r="U61" i="1" s="1"/>
  <c r="K85" i="1"/>
  <c r="M85" i="1" s="1"/>
  <c r="N85" i="1" s="1"/>
  <c r="U85" i="1" s="1"/>
  <c r="K418" i="1"/>
  <c r="M418" i="1" s="1"/>
  <c r="N418" i="1" s="1"/>
  <c r="U418" i="1" s="1"/>
  <c r="K601" i="1"/>
  <c r="M601" i="1" s="1"/>
  <c r="N601" i="1" s="1"/>
  <c r="U601" i="1" s="1"/>
  <c r="K453" i="1"/>
  <c r="M453" i="1" s="1"/>
  <c r="N453" i="1" s="1"/>
  <c r="U453" i="1" s="1"/>
  <c r="K539" i="1"/>
  <c r="M539" i="1" s="1"/>
  <c r="N539" i="1" s="1"/>
  <c r="U539" i="1" s="1"/>
  <c r="K575" i="1"/>
  <c r="M575" i="1" s="1"/>
  <c r="N575" i="1" s="1"/>
  <c r="U575" i="1" s="1"/>
  <c r="K616" i="1"/>
  <c r="M616" i="1" s="1"/>
  <c r="N616" i="1" s="1"/>
  <c r="U616" i="1" s="1"/>
  <c r="K186" i="1"/>
  <c r="M186" i="1" s="1"/>
  <c r="N186" i="1" s="1"/>
  <c r="U186" i="1" s="1"/>
  <c r="K451" i="1"/>
  <c r="M451" i="1" s="1"/>
  <c r="N451" i="1" s="1"/>
  <c r="U451" i="1" s="1"/>
  <c r="K268" i="1"/>
  <c r="M268" i="1" s="1"/>
  <c r="N268" i="1" s="1"/>
  <c r="U268" i="1" s="1"/>
  <c r="K53" i="1"/>
  <c r="M53" i="1" s="1"/>
  <c r="N53" i="1" s="1"/>
  <c r="U53" i="1" s="1"/>
  <c r="K461" i="1"/>
  <c r="M461" i="1" s="1"/>
  <c r="N461" i="1" s="1"/>
  <c r="U461" i="1" s="1"/>
  <c r="K677" i="1"/>
  <c r="M677" i="1" s="1"/>
  <c r="N677" i="1" s="1"/>
  <c r="U677" i="1" s="1"/>
  <c r="K373" i="1"/>
  <c r="M373" i="1" s="1"/>
  <c r="N373" i="1" s="1"/>
  <c r="U373" i="1" s="1"/>
  <c r="K317" i="1"/>
  <c r="M317" i="1" s="1"/>
  <c r="N317" i="1" s="1"/>
  <c r="U317" i="1" s="1"/>
  <c r="K97" i="1"/>
  <c r="M97" i="1" s="1"/>
  <c r="N97" i="1" s="1"/>
  <c r="U97" i="1" s="1"/>
  <c r="K320" i="1"/>
  <c r="M320" i="1" s="1"/>
  <c r="N320" i="1" s="1"/>
  <c r="U320" i="1" s="1"/>
  <c r="K642" i="1"/>
  <c r="M642" i="1" s="1"/>
  <c r="N642" i="1" s="1"/>
  <c r="U642" i="1" s="1"/>
  <c r="K96" i="1"/>
  <c r="M96" i="1" s="1"/>
  <c r="N96" i="1" s="1"/>
  <c r="U96" i="1" s="1"/>
  <c r="K718" i="1"/>
  <c r="M718" i="1" s="1"/>
  <c r="N718" i="1" s="1"/>
  <c r="U718" i="1" s="1"/>
  <c r="K74" i="1"/>
  <c r="M74" i="1" s="1"/>
  <c r="N74" i="1" s="1"/>
  <c r="U74" i="1" s="1"/>
  <c r="K525" i="1"/>
  <c r="M525" i="1" s="1"/>
  <c r="N525" i="1" s="1"/>
  <c r="U525" i="1" s="1"/>
  <c r="K610" i="1"/>
  <c r="M610" i="1" s="1"/>
  <c r="N610" i="1" s="1"/>
  <c r="U610" i="1" s="1"/>
  <c r="K296" i="1"/>
  <c r="M296" i="1" s="1"/>
  <c r="N296" i="1" s="1"/>
  <c r="U296" i="1" s="1"/>
  <c r="K292" i="1"/>
  <c r="M292" i="1" s="1"/>
  <c r="N292" i="1" s="1"/>
  <c r="U292" i="1" s="1"/>
  <c r="K699" i="1"/>
  <c r="M699" i="1" s="1"/>
  <c r="N699" i="1" s="1"/>
  <c r="U699" i="1" s="1"/>
  <c r="K43" i="1"/>
  <c r="M43" i="1" s="1"/>
  <c r="N43" i="1" s="1"/>
  <c r="U43" i="1" s="1"/>
  <c r="K127" i="1"/>
  <c r="M127" i="1" s="1"/>
  <c r="N127" i="1" s="1"/>
  <c r="U127" i="1" s="1"/>
  <c r="K371" i="1"/>
  <c r="M371" i="1" s="1"/>
  <c r="N371" i="1" s="1"/>
  <c r="U371" i="1" s="1"/>
  <c r="K158" i="1"/>
  <c r="M158" i="1" s="1"/>
  <c r="N158" i="1" s="1"/>
  <c r="U158" i="1" s="1"/>
  <c r="K463" i="1"/>
  <c r="M463" i="1" s="1"/>
  <c r="N463" i="1" s="1"/>
  <c r="U463" i="1" s="1"/>
  <c r="K554" i="1"/>
  <c r="M554" i="1" s="1"/>
  <c r="N554" i="1" s="1"/>
  <c r="U554" i="1" s="1"/>
  <c r="K332" i="1"/>
  <c r="M332" i="1" s="1"/>
  <c r="N332" i="1" s="1"/>
  <c r="U332" i="1" s="1"/>
  <c r="K131" i="1"/>
  <c r="M131" i="1" s="1"/>
  <c r="N131" i="1" s="1"/>
  <c r="U131" i="1" s="1"/>
  <c r="K407" i="1"/>
  <c r="M407" i="1" s="1"/>
  <c r="N407" i="1" s="1"/>
  <c r="U407" i="1" s="1"/>
  <c r="K247" i="1"/>
  <c r="M247" i="1" s="1"/>
  <c r="N247" i="1" s="1"/>
  <c r="U247" i="1" s="1"/>
  <c r="K69" i="1"/>
  <c r="M69" i="1" s="1"/>
  <c r="N69" i="1" s="1"/>
  <c r="U69" i="1" s="1"/>
  <c r="K311" i="1"/>
  <c r="M311" i="1" s="1"/>
  <c r="N311" i="1" s="1"/>
  <c r="U311" i="1" s="1"/>
  <c r="K348" i="1"/>
  <c r="M348" i="1" s="1"/>
  <c r="N348" i="1" s="1"/>
  <c r="U348" i="1" s="1"/>
  <c r="K532" i="1"/>
  <c r="M532" i="1" s="1"/>
  <c r="N532" i="1" s="1"/>
  <c r="U532" i="1" s="1"/>
  <c r="K650" i="1"/>
  <c r="M650" i="1" s="1"/>
  <c r="N650" i="1" s="1"/>
  <c r="U650" i="1" s="1"/>
  <c r="K167" i="1"/>
  <c r="M167" i="1" s="1"/>
  <c r="N167" i="1" s="1"/>
  <c r="U167" i="1" s="1"/>
  <c r="K439" i="1"/>
  <c r="M439" i="1" s="1"/>
  <c r="N439" i="1" s="1"/>
  <c r="U439" i="1" s="1"/>
  <c r="K217" i="1"/>
  <c r="M217" i="1" s="1"/>
  <c r="N217" i="1" s="1"/>
  <c r="U217" i="1" s="1"/>
  <c r="K337" i="1"/>
  <c r="M337" i="1" s="1"/>
  <c r="N337" i="1" s="1"/>
  <c r="U337" i="1" s="1"/>
  <c r="K273" i="1"/>
  <c r="M273" i="1" s="1"/>
  <c r="N273" i="1" s="1"/>
  <c r="U273" i="1" s="1"/>
  <c r="K147" i="1"/>
  <c r="M147" i="1" s="1"/>
  <c r="N147" i="1" s="1"/>
  <c r="U147" i="1" s="1"/>
  <c r="K31" i="1"/>
  <c r="M31" i="1" s="1"/>
  <c r="N31" i="1" s="1"/>
  <c r="U31" i="1" s="1"/>
  <c r="K505" i="1"/>
  <c r="M505" i="1" s="1"/>
  <c r="N505" i="1" s="1"/>
  <c r="U505" i="1" s="1"/>
  <c r="K645" i="1"/>
  <c r="M645" i="1" s="1"/>
  <c r="K706" i="1"/>
  <c r="M706" i="1" s="1"/>
  <c r="N706" i="1" s="1"/>
  <c r="U706" i="1" s="1"/>
  <c r="K708" i="1"/>
  <c r="M708" i="1" s="1"/>
  <c r="N708" i="1" s="1"/>
  <c r="U708" i="1" s="1"/>
  <c r="K543" i="1"/>
  <c r="M543" i="1" s="1"/>
  <c r="N543" i="1" s="1"/>
  <c r="U543" i="1" s="1"/>
  <c r="K405" i="1"/>
  <c r="M405" i="1" s="1"/>
  <c r="N405" i="1" s="1"/>
  <c r="U405" i="1" s="1"/>
  <c r="K528" i="1"/>
  <c r="M528" i="1" s="1"/>
  <c r="N528" i="1" s="1"/>
  <c r="U528" i="1" s="1"/>
  <c r="K551" i="1"/>
  <c r="M551" i="1" s="1"/>
  <c r="N551" i="1" s="1"/>
  <c r="U551" i="1" s="1"/>
  <c r="K252" i="1"/>
  <c r="M252" i="1" s="1"/>
  <c r="N252" i="1" s="1"/>
  <c r="U252" i="1" s="1"/>
  <c r="K343" i="1"/>
  <c r="M343" i="1" s="1"/>
  <c r="N343" i="1" s="1"/>
  <c r="U343" i="1" s="1"/>
  <c r="K465" i="1"/>
  <c r="M465" i="1" s="1"/>
  <c r="N465" i="1" s="1"/>
  <c r="U465" i="1" s="1"/>
  <c r="K508" i="1"/>
  <c r="M508" i="1" s="1"/>
  <c r="N508" i="1" s="1"/>
  <c r="U508" i="1" s="1"/>
  <c r="K698" i="1"/>
  <c r="M698" i="1" s="1"/>
  <c r="N698" i="1" s="1"/>
  <c r="U698" i="1" s="1"/>
  <c r="K50" i="1"/>
  <c r="M50" i="1" s="1"/>
  <c r="N50" i="1" s="1"/>
  <c r="U50" i="1" s="1"/>
  <c r="K458" i="1"/>
  <c r="M458" i="1" s="1"/>
  <c r="N458" i="1" s="1"/>
  <c r="U458" i="1" s="1"/>
  <c r="K693" i="1"/>
  <c r="M693" i="1" s="1"/>
  <c r="N693" i="1" s="1"/>
  <c r="U693" i="1" s="1"/>
  <c r="K497" i="1"/>
  <c r="M497" i="1" s="1"/>
  <c r="N497" i="1" s="1"/>
  <c r="U497" i="1" s="1"/>
  <c r="K162" i="1"/>
  <c r="M162" i="1" s="1"/>
  <c r="N162" i="1" s="1"/>
  <c r="U162" i="1" s="1"/>
  <c r="K578" i="1"/>
  <c r="M578" i="1" s="1"/>
  <c r="N578" i="1" s="1"/>
  <c r="U578" i="1" s="1"/>
  <c r="K303" i="1"/>
  <c r="M303" i="1" s="1"/>
  <c r="N303" i="1" s="1"/>
  <c r="U303" i="1" s="1"/>
  <c r="K423" i="1"/>
  <c r="M423" i="1" s="1"/>
  <c r="N423" i="1" s="1"/>
  <c r="U423" i="1" s="1"/>
  <c r="K422" i="1"/>
  <c r="M422" i="1" s="1"/>
  <c r="N422" i="1" s="1"/>
  <c r="U422" i="1" s="1"/>
  <c r="K712" i="1"/>
  <c r="M712" i="1" s="1"/>
  <c r="N712" i="1" s="1"/>
  <c r="U712" i="1" s="1"/>
  <c r="K168" i="1"/>
  <c r="M168" i="1" s="1"/>
  <c r="N168" i="1" s="1"/>
  <c r="U168" i="1" s="1"/>
  <c r="K507" i="1"/>
  <c r="M507" i="1" s="1"/>
  <c r="N507" i="1" s="1"/>
  <c r="U507" i="1" s="1"/>
  <c r="K633" i="1"/>
  <c r="M633" i="1" s="1"/>
  <c r="N633" i="1" s="1"/>
  <c r="U633" i="1" s="1"/>
  <c r="K196" i="1"/>
  <c r="M196" i="1" s="1"/>
  <c r="N196" i="1" s="1"/>
  <c r="U196" i="1" s="1"/>
  <c r="K2" i="1"/>
  <c r="M2" i="1" s="1"/>
  <c r="N2" i="1" s="1"/>
  <c r="U2" i="1" s="1"/>
  <c r="K446" i="1"/>
  <c r="M446" i="1" s="1"/>
  <c r="N446" i="1" s="1"/>
  <c r="U446" i="1" s="1"/>
  <c r="K684" i="1"/>
  <c r="M684" i="1" s="1"/>
  <c r="N684" i="1" s="1"/>
  <c r="U684" i="1" s="1"/>
  <c r="K94" i="1"/>
  <c r="M94" i="1" s="1"/>
  <c r="N94" i="1" s="1"/>
  <c r="U94" i="1" s="1"/>
  <c r="K214" i="1"/>
  <c r="M214" i="1" s="1"/>
  <c r="N214" i="1" s="1"/>
  <c r="U214" i="1" s="1"/>
  <c r="K246" i="1"/>
  <c r="M246" i="1" s="1"/>
  <c r="N246" i="1" s="1"/>
  <c r="U246" i="1" s="1"/>
  <c r="K262" i="1"/>
  <c r="M262" i="1" s="1"/>
  <c r="N262" i="1" s="1"/>
  <c r="U262" i="1" s="1"/>
  <c r="K403" i="1"/>
  <c r="M403" i="1" s="1"/>
  <c r="N403" i="1" s="1"/>
  <c r="U403" i="1" s="1"/>
  <c r="K200" i="1"/>
  <c r="M200" i="1" s="1"/>
  <c r="N200" i="1" s="1"/>
  <c r="U200" i="1" s="1"/>
  <c r="K399" i="1"/>
  <c r="M399" i="1" s="1"/>
  <c r="N399" i="1" s="1"/>
  <c r="U399" i="1" s="1"/>
  <c r="K283" i="1"/>
  <c r="M283" i="1" s="1"/>
  <c r="N283" i="1" s="1"/>
  <c r="U283" i="1" s="1"/>
  <c r="K524" i="1"/>
  <c r="M524" i="1" s="1"/>
  <c r="N524" i="1" s="1"/>
  <c r="U524" i="1" s="1"/>
  <c r="K282" i="1"/>
  <c r="M282" i="1" s="1"/>
  <c r="N282" i="1" s="1"/>
  <c r="U282" i="1" s="1"/>
  <c r="K261" i="1"/>
  <c r="M261" i="1" s="1"/>
  <c r="N261" i="1" s="1"/>
  <c r="U261" i="1" s="1"/>
  <c r="K279" i="1"/>
  <c r="M279" i="1" s="1"/>
  <c r="N279" i="1" s="1"/>
  <c r="U279" i="1" s="1"/>
  <c r="K274" i="1"/>
  <c r="M274" i="1" s="1"/>
  <c r="N274" i="1" s="1"/>
  <c r="U274" i="1" s="1"/>
  <c r="K98" i="1"/>
  <c r="M98" i="1" s="1"/>
  <c r="N98" i="1" s="1"/>
  <c r="U98" i="1" s="1"/>
  <c r="K529" i="1"/>
  <c r="M529" i="1" s="1"/>
  <c r="N529" i="1" s="1"/>
  <c r="U529" i="1" s="1"/>
  <c r="K561" i="1"/>
  <c r="M561" i="1" s="1"/>
  <c r="N561" i="1" s="1"/>
  <c r="U561" i="1" s="1"/>
  <c r="K573" i="1"/>
  <c r="M573" i="1" s="1"/>
  <c r="N573" i="1" s="1"/>
  <c r="U573" i="1" s="1"/>
  <c r="K269" i="1"/>
  <c r="M269" i="1" s="1"/>
  <c r="N269" i="1" s="1"/>
  <c r="U269" i="1" s="1"/>
  <c r="K226" i="1"/>
  <c r="M226" i="1" s="1"/>
  <c r="N226" i="1" s="1"/>
  <c r="U226" i="1" s="1"/>
  <c r="K589" i="1"/>
  <c r="M589" i="1" s="1"/>
  <c r="N589" i="1" s="1"/>
  <c r="U589" i="1" s="1"/>
  <c r="K205" i="1"/>
  <c r="M205" i="1" s="1"/>
  <c r="N205" i="1" s="1"/>
  <c r="U205" i="1" s="1"/>
  <c r="K216" i="1"/>
  <c r="M216" i="1" s="1"/>
  <c r="N216" i="1" s="1"/>
  <c r="U216" i="1" s="1"/>
  <c r="K675" i="1"/>
  <c r="M675" i="1" s="1"/>
  <c r="N675" i="1" s="1"/>
  <c r="U675" i="1" s="1"/>
  <c r="K110" i="1"/>
  <c r="M110" i="1" s="1"/>
  <c r="N110" i="1" s="1"/>
  <c r="U110" i="1" s="1"/>
  <c r="K192" i="1"/>
  <c r="M192" i="1" s="1"/>
  <c r="N192" i="1" s="1"/>
  <c r="U192" i="1" s="1"/>
  <c r="K188" i="1"/>
  <c r="M188" i="1" s="1"/>
  <c r="N188" i="1" s="1"/>
  <c r="U188" i="1" s="1"/>
  <c r="K193" i="1"/>
  <c r="M193" i="1" s="1"/>
  <c r="N193" i="1" s="1"/>
  <c r="U193" i="1" s="1"/>
  <c r="K368" i="1"/>
  <c r="M368" i="1" s="1"/>
  <c r="N368" i="1" s="1"/>
  <c r="U368" i="1" s="1"/>
  <c r="K92" i="1"/>
  <c r="M92" i="1" s="1"/>
  <c r="N92" i="1" s="1"/>
  <c r="U92" i="1" s="1"/>
  <c r="K518" i="1"/>
  <c r="M518" i="1" s="1"/>
  <c r="N518" i="1" s="1"/>
  <c r="U518" i="1" s="1"/>
  <c r="K691" i="1"/>
  <c r="M691" i="1" s="1"/>
  <c r="N691" i="1" s="1"/>
  <c r="U691" i="1" s="1"/>
  <c r="AB14" i="1" a="1"/>
  <c r="AB14" i="1" s="1"/>
  <c r="L447" i="1" l="1"/>
  <c r="L582" i="1"/>
  <c r="T582" i="1"/>
  <c r="T648" i="1"/>
  <c r="L648" i="1"/>
  <c r="T645" i="1"/>
  <c r="N645" i="1"/>
  <c r="U645" i="1" s="1"/>
  <c r="T432" i="1"/>
  <c r="L417" i="1"/>
  <c r="N417" i="1"/>
  <c r="U417" i="1" s="1"/>
  <c r="L148" i="1"/>
  <c r="N148" i="1"/>
  <c r="U148" i="1" s="1"/>
  <c r="L432" i="1"/>
  <c r="T482" i="1"/>
  <c r="T659" i="1"/>
  <c r="L482" i="1"/>
  <c r="L659" i="1"/>
  <c r="L687" i="1"/>
  <c r="N687" i="1"/>
  <c r="U687" i="1" s="1"/>
  <c r="T68" i="1"/>
  <c r="N68" i="1"/>
  <c r="U68" i="1" s="1"/>
  <c r="L593" i="1"/>
  <c r="N593" i="1"/>
  <c r="U593" i="1" s="1"/>
  <c r="L569" i="1"/>
  <c r="N569" i="1"/>
  <c r="U569" i="1" s="1"/>
  <c r="L701" i="1"/>
  <c r="N701" i="1"/>
  <c r="U701" i="1" s="1"/>
  <c r="T301" i="1"/>
  <c r="L136" i="1"/>
  <c r="N136" i="1"/>
  <c r="U136" i="1" s="1"/>
  <c r="T210" i="1"/>
  <c r="N210" i="1"/>
  <c r="U210" i="1" s="1"/>
  <c r="L301" i="1"/>
  <c r="L511" i="1"/>
  <c r="N511" i="1"/>
  <c r="U511" i="1" s="1"/>
  <c r="T329" i="1"/>
  <c r="N329" i="1"/>
  <c r="U329" i="1" s="1"/>
  <c r="T400" i="1"/>
  <c r="N400" i="1"/>
  <c r="U400" i="1" s="1"/>
  <c r="L331" i="1"/>
  <c r="N331" i="1"/>
  <c r="U331" i="1" s="1"/>
  <c r="T496" i="1"/>
  <c r="T222" i="1"/>
  <c r="N222" i="1"/>
  <c r="U222" i="1" s="1"/>
  <c r="L496" i="1"/>
  <c r="T717" i="1"/>
  <c r="N717" i="1"/>
  <c r="U717" i="1" s="1"/>
  <c r="T416" i="1"/>
  <c r="N416" i="1"/>
  <c r="U416" i="1" s="1"/>
  <c r="L568" i="1"/>
  <c r="N568" i="1"/>
  <c r="U568" i="1" s="1"/>
  <c r="T538" i="1"/>
  <c r="N538" i="1"/>
  <c r="U538" i="1" s="1"/>
  <c r="T417" i="1"/>
  <c r="L400" i="1"/>
  <c r="T569" i="1"/>
  <c r="L717" i="1"/>
  <c r="L416" i="1"/>
  <c r="T148" i="1"/>
  <c r="T701" i="1"/>
  <c r="T136" i="1"/>
  <c r="L329" i="1"/>
  <c r="T511" i="1"/>
  <c r="T593" i="1"/>
  <c r="T331" i="1"/>
  <c r="T687" i="1"/>
  <c r="L538" i="1"/>
  <c r="T568" i="1"/>
  <c r="L261" i="1"/>
  <c r="T261" i="1"/>
  <c r="L505" i="1"/>
  <c r="T505" i="1"/>
  <c r="L451" i="1"/>
  <c r="T451" i="1"/>
  <c r="L100" i="1"/>
  <c r="T100" i="1"/>
  <c r="L263" i="1"/>
  <c r="T263" i="1"/>
  <c r="L176" i="1"/>
  <c r="T176" i="1"/>
  <c r="L179" i="1"/>
  <c r="T179" i="1"/>
  <c r="L178" i="1"/>
  <c r="T178" i="1"/>
  <c r="L580" i="1"/>
  <c r="T580" i="1"/>
  <c r="L283" i="1"/>
  <c r="T283" i="1"/>
  <c r="L273" i="1"/>
  <c r="T273" i="1"/>
  <c r="L575" i="1"/>
  <c r="T575" i="1"/>
  <c r="L574" i="1"/>
  <c r="T574" i="1"/>
  <c r="L386" i="1"/>
  <c r="T386" i="1"/>
  <c r="L510" i="1"/>
  <c r="T510" i="1"/>
  <c r="L498" i="1"/>
  <c r="T498" i="1"/>
  <c r="L497" i="1"/>
  <c r="T497" i="1"/>
  <c r="L539" i="1"/>
  <c r="T539" i="1"/>
  <c r="L689" i="1"/>
  <c r="T689" i="1"/>
  <c r="L608" i="1"/>
  <c r="T608" i="1"/>
  <c r="L19" i="1"/>
  <c r="T19" i="1"/>
  <c r="L693" i="1"/>
  <c r="T693" i="1"/>
  <c r="L453" i="1"/>
  <c r="T453" i="1"/>
  <c r="L260" i="1"/>
  <c r="T260" i="1"/>
  <c r="L236" i="1"/>
  <c r="T236" i="1"/>
  <c r="L77" i="1"/>
  <c r="T77" i="1"/>
  <c r="L636" i="1"/>
  <c r="T636" i="1"/>
  <c r="L214" i="1"/>
  <c r="T214" i="1"/>
  <c r="L508" i="1"/>
  <c r="T508" i="1"/>
  <c r="L61" i="1"/>
  <c r="T61" i="1"/>
  <c r="L143" i="1"/>
  <c r="T143" i="1"/>
  <c r="L300" i="1"/>
  <c r="T300" i="1"/>
  <c r="L171" i="1"/>
  <c r="T171" i="1"/>
  <c r="L625" i="1"/>
  <c r="T625" i="1"/>
  <c r="L94" i="1"/>
  <c r="T94" i="1"/>
  <c r="L348" i="1"/>
  <c r="T348" i="1"/>
  <c r="L294" i="1"/>
  <c r="T294" i="1"/>
  <c r="L175" i="1"/>
  <c r="T175" i="1"/>
  <c r="L160" i="1"/>
  <c r="T160" i="1"/>
  <c r="L356" i="1"/>
  <c r="T356" i="1"/>
  <c r="L38" i="1"/>
  <c r="T38" i="1"/>
  <c r="L355" i="1"/>
  <c r="T355" i="1"/>
  <c r="L589" i="1"/>
  <c r="T589" i="1"/>
  <c r="L311" i="1"/>
  <c r="T311" i="1"/>
  <c r="L448" i="1"/>
  <c r="T448" i="1"/>
  <c r="L44" i="1"/>
  <c r="T44" i="1"/>
  <c r="L69" i="1"/>
  <c r="T69" i="1"/>
  <c r="L494" i="1"/>
  <c r="T494" i="1"/>
  <c r="L724" i="1"/>
  <c r="T724" i="1"/>
  <c r="L169" i="1"/>
  <c r="T169" i="1"/>
  <c r="L289" i="1"/>
  <c r="T289" i="1"/>
  <c r="L691" i="1"/>
  <c r="T691" i="1"/>
  <c r="L423" i="1"/>
  <c r="T423" i="1"/>
  <c r="L371" i="1"/>
  <c r="T371" i="1"/>
  <c r="L314" i="1"/>
  <c r="T314" i="1"/>
  <c r="L172" i="1"/>
  <c r="T172" i="1"/>
  <c r="L518" i="1"/>
  <c r="T518" i="1"/>
  <c r="L282" i="1"/>
  <c r="T282" i="1"/>
  <c r="L303" i="1"/>
  <c r="T303" i="1"/>
  <c r="L31" i="1"/>
  <c r="T31" i="1"/>
  <c r="L503" i="1"/>
  <c r="T503" i="1"/>
  <c r="L221" i="1"/>
  <c r="T221" i="1"/>
  <c r="L277" i="1"/>
  <c r="T277" i="1"/>
  <c r="L92" i="1"/>
  <c r="T92" i="1"/>
  <c r="L524" i="1"/>
  <c r="T524" i="1"/>
  <c r="L578" i="1"/>
  <c r="T578" i="1"/>
  <c r="L147" i="1"/>
  <c r="T147" i="1"/>
  <c r="L43" i="1"/>
  <c r="T43" i="1"/>
  <c r="L616" i="1"/>
  <c r="T616" i="1"/>
  <c r="L272" i="1"/>
  <c r="T272" i="1"/>
  <c r="L419" i="1"/>
  <c r="T419" i="1"/>
  <c r="L692" i="1"/>
  <c r="T692" i="1"/>
  <c r="L121" i="1"/>
  <c r="T121" i="1"/>
  <c r="L47" i="1"/>
  <c r="T47" i="1"/>
  <c r="L715" i="1"/>
  <c r="T715" i="1"/>
  <c r="L368" i="1"/>
  <c r="T368" i="1"/>
  <c r="L162" i="1"/>
  <c r="T162" i="1"/>
  <c r="L699" i="1"/>
  <c r="T699" i="1"/>
  <c r="L41" i="1"/>
  <c r="T41" i="1"/>
  <c r="L124" i="1"/>
  <c r="T124" i="1"/>
  <c r="L89" i="1"/>
  <c r="T89" i="1"/>
  <c r="L399" i="1"/>
  <c r="T399" i="1"/>
  <c r="L292" i="1"/>
  <c r="T292" i="1"/>
  <c r="L370" i="1"/>
  <c r="T370" i="1"/>
  <c r="L51" i="1"/>
  <c r="T51" i="1"/>
  <c r="L483" i="1"/>
  <c r="T483" i="1"/>
  <c r="L200" i="1"/>
  <c r="T200" i="1"/>
  <c r="L296" i="1"/>
  <c r="T296" i="1"/>
  <c r="L476" i="1"/>
  <c r="T476" i="1"/>
  <c r="L55" i="1"/>
  <c r="T55" i="1"/>
  <c r="L583" i="1"/>
  <c r="T583" i="1"/>
  <c r="L403" i="1"/>
  <c r="T403" i="1"/>
  <c r="L439" i="1"/>
  <c r="T439" i="1"/>
  <c r="L601" i="1"/>
  <c r="T601" i="1"/>
  <c r="L341" i="1"/>
  <c r="T341" i="1"/>
  <c r="L3" i="1"/>
  <c r="T3" i="1"/>
  <c r="L369" i="1"/>
  <c r="T369" i="1"/>
  <c r="L40" i="1"/>
  <c r="T40" i="1"/>
  <c r="L262" i="1"/>
  <c r="T262" i="1"/>
  <c r="L167" i="1"/>
  <c r="T167" i="1"/>
  <c r="L418" i="1"/>
  <c r="T418" i="1"/>
  <c r="L241" i="1"/>
  <c r="T241" i="1"/>
  <c r="L243" i="1"/>
  <c r="T243" i="1"/>
  <c r="L597" i="1"/>
  <c r="T597" i="1"/>
  <c r="L246" i="1"/>
  <c r="T246" i="1"/>
  <c r="L650" i="1"/>
  <c r="T650" i="1"/>
  <c r="L16" i="1"/>
  <c r="T16" i="1"/>
  <c r="L430" i="1"/>
  <c r="T430" i="1"/>
  <c r="L287" i="1"/>
  <c r="T287" i="1"/>
  <c r="L402" i="1"/>
  <c r="T402" i="1"/>
  <c r="L216" i="1"/>
  <c r="T216" i="1"/>
  <c r="L532" i="1"/>
  <c r="T532" i="1"/>
  <c r="L718" i="1"/>
  <c r="T718" i="1"/>
  <c r="L639" i="1"/>
  <c r="T639" i="1"/>
  <c r="L653" i="1"/>
  <c r="T653" i="1"/>
  <c r="L714" i="1"/>
  <c r="T714" i="1"/>
  <c r="L702" i="1"/>
  <c r="T702" i="1"/>
  <c r="L205" i="1"/>
  <c r="T205" i="1"/>
  <c r="L465" i="1"/>
  <c r="T465" i="1"/>
  <c r="L96" i="1"/>
  <c r="T96" i="1"/>
  <c r="L129" i="1"/>
  <c r="T129" i="1"/>
  <c r="L449" i="1"/>
  <c r="T449" i="1"/>
  <c r="L343" i="1"/>
  <c r="T343" i="1"/>
  <c r="L109" i="1"/>
  <c r="T109" i="1"/>
  <c r="L8" i="1"/>
  <c r="T8" i="1"/>
  <c r="L315" i="1"/>
  <c r="T315" i="1"/>
  <c r="L252" i="1"/>
  <c r="T252" i="1"/>
  <c r="L570" i="1"/>
  <c r="T570" i="1"/>
  <c r="L342" i="1"/>
  <c r="T342" i="1"/>
  <c r="L10" i="1"/>
  <c r="T10" i="1"/>
  <c r="L484" i="1"/>
  <c r="T484" i="1"/>
  <c r="L2" i="1"/>
  <c r="T2" i="1"/>
  <c r="L247" i="1"/>
  <c r="T247" i="1"/>
  <c r="L166" i="1"/>
  <c r="T166" i="1"/>
  <c r="L664" i="1"/>
  <c r="T664" i="1"/>
  <c r="L651" i="1"/>
  <c r="T651" i="1"/>
  <c r="L62" i="1"/>
  <c r="T62" i="1"/>
  <c r="L572" i="1"/>
  <c r="T572" i="1"/>
  <c r="L387" i="1"/>
  <c r="T387" i="1"/>
  <c r="L660" i="1"/>
  <c r="T660" i="1"/>
  <c r="L626" i="1"/>
  <c r="T626" i="1"/>
  <c r="L196" i="1"/>
  <c r="T196" i="1"/>
  <c r="L317" i="1"/>
  <c r="T317" i="1"/>
  <c r="L673" i="1"/>
  <c r="T673" i="1"/>
  <c r="L581" i="1"/>
  <c r="T581" i="1"/>
  <c r="L28" i="1"/>
  <c r="T28" i="1"/>
  <c r="L553" i="1"/>
  <c r="T553" i="1"/>
  <c r="L561" i="1"/>
  <c r="T561" i="1"/>
  <c r="L405" i="1"/>
  <c r="T405" i="1"/>
  <c r="L131" i="1"/>
  <c r="T131" i="1"/>
  <c r="L599" i="1"/>
  <c r="T599" i="1"/>
  <c r="L523" i="1"/>
  <c r="T523" i="1"/>
  <c r="L385" i="1"/>
  <c r="T385" i="1"/>
  <c r="L716" i="1"/>
  <c r="T716" i="1"/>
  <c r="L529" i="1"/>
  <c r="T529" i="1"/>
  <c r="L543" i="1"/>
  <c r="T543" i="1"/>
  <c r="L677" i="1"/>
  <c r="T677" i="1"/>
  <c r="L164" i="1"/>
  <c r="T164" i="1"/>
  <c r="L502" i="1"/>
  <c r="T502" i="1"/>
  <c r="L67" i="1"/>
  <c r="T67" i="1"/>
  <c r="L404" i="1"/>
  <c r="T404" i="1"/>
  <c r="L98" i="1"/>
  <c r="T98" i="1"/>
  <c r="L168" i="1"/>
  <c r="T168" i="1"/>
  <c r="L708" i="1"/>
  <c r="T708" i="1"/>
  <c r="L554" i="1"/>
  <c r="T554" i="1"/>
  <c r="L461" i="1"/>
  <c r="T461" i="1"/>
  <c r="L426" i="1"/>
  <c r="T426" i="1"/>
  <c r="L499" i="1"/>
  <c r="T499" i="1"/>
  <c r="L245" i="1"/>
  <c r="T245" i="1"/>
  <c r="L72" i="1"/>
  <c r="T72" i="1"/>
  <c r="L33" i="1"/>
  <c r="T33" i="1"/>
  <c r="L274" i="1"/>
  <c r="T274" i="1"/>
  <c r="L712" i="1"/>
  <c r="T712" i="1"/>
  <c r="L706" i="1"/>
  <c r="T706" i="1"/>
  <c r="L463" i="1"/>
  <c r="T463" i="1"/>
  <c r="L53" i="1"/>
  <c r="T53" i="1"/>
  <c r="L284" i="1"/>
  <c r="T284" i="1"/>
  <c r="L665" i="1"/>
  <c r="T665" i="1"/>
  <c r="L540" i="1"/>
  <c r="T540" i="1"/>
  <c r="L4" i="1"/>
  <c r="T4" i="1"/>
  <c r="L82" i="1"/>
  <c r="T82" i="1"/>
  <c r="L509" i="1"/>
  <c r="T509" i="1"/>
  <c r="L686" i="1"/>
  <c r="T686" i="1"/>
  <c r="L173" i="1"/>
  <c r="T173" i="1"/>
  <c r="L155" i="1"/>
  <c r="T155" i="1"/>
  <c r="L624" i="1"/>
  <c r="T624" i="1"/>
  <c r="L127" i="1"/>
  <c r="T127" i="1"/>
  <c r="L186" i="1"/>
  <c r="T186" i="1"/>
  <c r="L452" i="1"/>
  <c r="T452" i="1"/>
  <c r="L276" i="1"/>
  <c r="T276" i="1"/>
  <c r="L367" i="1"/>
  <c r="T367" i="1"/>
  <c r="L555" i="1"/>
  <c r="T555" i="1"/>
  <c r="L193" i="1"/>
  <c r="T193" i="1"/>
  <c r="L337" i="1"/>
  <c r="T337" i="1"/>
  <c r="L18" i="1"/>
  <c r="T18" i="1"/>
  <c r="L177" i="1"/>
  <c r="T177" i="1"/>
  <c r="L313" i="1"/>
  <c r="T313" i="1"/>
  <c r="L57" i="1"/>
  <c r="T57" i="1"/>
  <c r="L188" i="1"/>
  <c r="T188" i="1"/>
  <c r="L217" i="1"/>
  <c r="T217" i="1"/>
  <c r="L302" i="1"/>
  <c r="T302" i="1"/>
  <c r="L700" i="1"/>
  <c r="T700" i="1"/>
  <c r="L255" i="1"/>
  <c r="T255" i="1"/>
  <c r="L431" i="1"/>
  <c r="T431" i="1"/>
  <c r="L542" i="1"/>
  <c r="T542" i="1"/>
  <c r="L192" i="1"/>
  <c r="T192" i="1"/>
  <c r="L458" i="1"/>
  <c r="T458" i="1"/>
  <c r="L610" i="1"/>
  <c r="T610" i="1"/>
  <c r="L541" i="1"/>
  <c r="T541" i="1"/>
  <c r="L259" i="1"/>
  <c r="T259" i="1"/>
  <c r="L671" i="1"/>
  <c r="T671" i="1"/>
  <c r="L170" i="1"/>
  <c r="T170" i="1"/>
  <c r="L594" i="1"/>
  <c r="T594" i="1"/>
  <c r="L595" i="1"/>
  <c r="T595" i="1"/>
  <c r="L110" i="1"/>
  <c r="T110" i="1"/>
  <c r="L50" i="1"/>
  <c r="T50" i="1"/>
  <c r="L525" i="1"/>
  <c r="T525" i="1"/>
  <c r="L618" i="1"/>
  <c r="T618" i="1"/>
  <c r="L425" i="1"/>
  <c r="T425" i="1"/>
  <c r="L354" i="1"/>
  <c r="T354" i="1"/>
  <c r="L71" i="1"/>
  <c r="T71" i="1"/>
  <c r="L627" i="1"/>
  <c r="T627" i="1"/>
  <c r="L388" i="1"/>
  <c r="T388" i="1"/>
  <c r="L675" i="1"/>
  <c r="T675" i="1"/>
  <c r="L698" i="1"/>
  <c r="T698" i="1"/>
  <c r="L74" i="1"/>
  <c r="T74" i="1"/>
  <c r="L85" i="1"/>
  <c r="T85" i="1"/>
  <c r="L58" i="1"/>
  <c r="T58" i="1"/>
  <c r="L21" i="1"/>
  <c r="T21" i="1"/>
  <c r="L571" i="1"/>
  <c r="T571" i="1"/>
  <c r="L684" i="1"/>
  <c r="T684" i="1"/>
  <c r="L642" i="1"/>
  <c r="T642" i="1"/>
  <c r="L420" i="1"/>
  <c r="T420" i="1"/>
  <c r="L113" i="1"/>
  <c r="T113" i="1"/>
  <c r="L79" i="1"/>
  <c r="T79" i="1"/>
  <c r="L635" i="1"/>
  <c r="T635" i="1"/>
  <c r="L226" i="1"/>
  <c r="T226" i="1"/>
  <c r="L446" i="1"/>
  <c r="T446" i="1"/>
  <c r="L320" i="1"/>
  <c r="T320" i="1"/>
  <c r="L59" i="1"/>
  <c r="T59" i="1"/>
  <c r="L672" i="1"/>
  <c r="T672" i="1"/>
  <c r="L467" i="1"/>
  <c r="T467" i="1"/>
  <c r="L269" i="1"/>
  <c r="T269" i="1"/>
  <c r="L551" i="1"/>
  <c r="T551" i="1"/>
  <c r="L97" i="1"/>
  <c r="T97" i="1"/>
  <c r="L225" i="1"/>
  <c r="T225" i="1"/>
  <c r="L6" i="1"/>
  <c r="T6" i="1"/>
  <c r="L537" i="1"/>
  <c r="T537" i="1"/>
  <c r="L466" i="1"/>
  <c r="T466" i="1"/>
  <c r="L290" i="1"/>
  <c r="T290" i="1"/>
  <c r="L573" i="1"/>
  <c r="T573" i="1"/>
  <c r="L528" i="1"/>
  <c r="T528" i="1"/>
  <c r="L407" i="1"/>
  <c r="T407" i="1"/>
  <c r="L316" i="1"/>
  <c r="T316" i="1"/>
  <c r="L401" i="1"/>
  <c r="T401" i="1"/>
  <c r="L220" i="1"/>
  <c r="T220" i="1"/>
  <c r="L464" i="1"/>
  <c r="T464" i="1"/>
  <c r="L633" i="1"/>
  <c r="T633" i="1"/>
  <c r="L373" i="1"/>
  <c r="T373" i="1"/>
  <c r="L84" i="1"/>
  <c r="T84" i="1"/>
  <c r="L39" i="1"/>
  <c r="T39" i="1"/>
  <c r="L101" i="1"/>
  <c r="T101" i="1"/>
  <c r="L288" i="1"/>
  <c r="T288" i="1"/>
  <c r="L596" i="1"/>
  <c r="T596" i="1"/>
  <c r="L485" i="1"/>
  <c r="T485" i="1"/>
  <c r="L658" i="1"/>
  <c r="T658" i="1"/>
  <c r="L507" i="1"/>
  <c r="T507" i="1"/>
  <c r="L332" i="1"/>
  <c r="T332" i="1"/>
  <c r="L514" i="1"/>
  <c r="T514" i="1"/>
  <c r="L704" i="1"/>
  <c r="T704" i="1"/>
  <c r="L65" i="1"/>
  <c r="T65" i="1"/>
  <c r="L107" i="1"/>
  <c r="T107" i="1"/>
  <c r="L5" i="1"/>
  <c r="T5" i="1"/>
  <c r="L433" i="1"/>
  <c r="T433" i="1"/>
  <c r="AB12" i="1" a="1"/>
  <c r="AB12" i="1" s="1"/>
  <c r="L279" i="1"/>
  <c r="T279" i="1"/>
  <c r="L422" i="1"/>
  <c r="T422" i="1"/>
  <c r="L158" i="1"/>
  <c r="T158" i="1"/>
  <c r="L268" i="1"/>
  <c r="T268" i="1"/>
  <c r="L116" i="1"/>
  <c r="T116" i="1"/>
  <c r="L93" i="1"/>
  <c r="T93" i="1"/>
  <c r="L278" i="1"/>
  <c r="T278" i="1"/>
  <c r="L685" i="1"/>
  <c r="T685" i="1"/>
  <c r="L86" i="1"/>
  <c r="T86" i="1"/>
  <c r="L13" i="1"/>
  <c r="T13" i="1"/>
  <c r="L434" i="1"/>
  <c r="T434" i="1"/>
  <c r="L68" i="1"/>
  <c r="AB11" i="1" a="1"/>
  <c r="AB11" i="1" s="1"/>
  <c r="AB17" i="1" a="1"/>
  <c r="AB17" i="1" s="1"/>
  <c r="L222" i="1"/>
  <c r="L210" i="1"/>
  <c r="AB15" i="1" a="1"/>
  <c r="AB15" i="1" s="1"/>
  <c r="AB16" i="1" a="1"/>
  <c r="AB16" i="1" s="1"/>
  <c r="L645" i="1"/>
  <c r="AB13" i="1" a="1"/>
  <c r="AB13" i="1" s="1"/>
  <c r="Y25" i="1" l="1"/>
  <c r="Y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<sst xmlns="http://schemas.openxmlformats.org/spreadsheetml/2006/main" count="2263" uniqueCount="811">
  <si>
    <t>Player</t>
  </si>
  <si>
    <t>Team</t>
  </si>
  <si>
    <t>Dallas Cowboys</t>
  </si>
  <si>
    <t>Philadelphia Eagles</t>
  </si>
  <si>
    <t>New England Patriots</t>
  </si>
  <si>
    <t>Pittsburgh Steelers</t>
  </si>
  <si>
    <t>Cleveland Browns</t>
  </si>
  <si>
    <t>Kansas City Chiefs</t>
  </si>
  <si>
    <t>San Francisco 49ers</t>
  </si>
  <si>
    <t>Washington Commanders</t>
  </si>
  <si>
    <t>Miami Dolphins</t>
  </si>
  <si>
    <t>Indianapolis Colts</t>
  </si>
  <si>
    <t>New Orleans Saints</t>
  </si>
  <si>
    <t>Buffalo Bills</t>
  </si>
  <si>
    <t>Green Bay Packers</t>
  </si>
  <si>
    <t>New York Jets</t>
  </si>
  <si>
    <t>Seattle Seahawks</t>
  </si>
  <si>
    <t>Los Angeles Chargers</t>
  </si>
  <si>
    <t>Detroit Lions</t>
  </si>
  <si>
    <t>Houston Texans</t>
  </si>
  <si>
    <t>Minnesota Vikings</t>
  </si>
  <si>
    <t>Baltimore Ravens</t>
  </si>
  <si>
    <t>Tampa Bay Buccaneers</t>
  </si>
  <si>
    <t>Jacksonville Jaguars</t>
  </si>
  <si>
    <t>Denver Broncos</t>
  </si>
  <si>
    <t>New York Giants</t>
  </si>
  <si>
    <t>Tennessee Titans</t>
  </si>
  <si>
    <t>Cincinnati Bengals</t>
  </si>
  <si>
    <t>Los Angeles Rams</t>
  </si>
  <si>
    <t>Carolina Panthers</t>
  </si>
  <si>
    <t>Atlanta Falcons</t>
  </si>
  <si>
    <t>Arizona Cardinals</t>
  </si>
  <si>
    <t>Chicago Bears</t>
  </si>
  <si>
    <t>Las Vegas Raiders</t>
  </si>
  <si>
    <t>FPTS</t>
  </si>
  <si>
    <t>Pos</t>
  </si>
  <si>
    <t>RL</t>
  </si>
  <si>
    <t>RLB</t>
  </si>
  <si>
    <t>DEF</t>
  </si>
  <si>
    <t>Patrick Mahomes II</t>
  </si>
  <si>
    <t>KC</t>
  </si>
  <si>
    <t>Josh Allen</t>
  </si>
  <si>
    <t>BUF</t>
  </si>
  <si>
    <t>Jalen Hurts</t>
  </si>
  <si>
    <t>PHI</t>
  </si>
  <si>
    <t>Lamar Jackson</t>
  </si>
  <si>
    <t>BAL</t>
  </si>
  <si>
    <t>Joe Burrow</t>
  </si>
  <si>
    <t>CIN</t>
  </si>
  <si>
    <t>Justin Fields</t>
  </si>
  <si>
    <t>CHI</t>
  </si>
  <si>
    <t>Justin Herbert</t>
  </si>
  <si>
    <t>LAC</t>
  </si>
  <si>
    <t>Deshaun Watson</t>
  </si>
  <si>
    <t>CLE</t>
  </si>
  <si>
    <t>Dak Prescott</t>
  </si>
  <si>
    <t>DAL</t>
  </si>
  <si>
    <t>Trevor Lawrence</t>
  </si>
  <si>
    <t>JAC</t>
  </si>
  <si>
    <t>Kirk Cousins</t>
  </si>
  <si>
    <t>MIN</t>
  </si>
  <si>
    <t>Daniel Jones</t>
  </si>
  <si>
    <t>NYG</t>
  </si>
  <si>
    <t>Geno Smith</t>
  </si>
  <si>
    <t>SEA</t>
  </si>
  <si>
    <t>Aaron Rodgers</t>
  </si>
  <si>
    <t>NYJ</t>
  </si>
  <si>
    <t>Tua Tagovailoa</t>
  </si>
  <si>
    <t>MIA</t>
  </si>
  <si>
    <t>Russell Wilson</t>
  </si>
  <si>
    <t>DEN</t>
  </si>
  <si>
    <t>Jared Goff</t>
  </si>
  <si>
    <t>DET</t>
  </si>
  <si>
    <t>Anthony Richardson</t>
  </si>
  <si>
    <t>IND</t>
  </si>
  <si>
    <t>Derek Carr</t>
  </si>
  <si>
    <t>NO</t>
  </si>
  <si>
    <t>Jordan Love</t>
  </si>
  <si>
    <t>GB</t>
  </si>
  <si>
    <t>Kenny Pickett</t>
  </si>
  <si>
    <t>PIT</t>
  </si>
  <si>
    <t>Matthew Stafford</t>
  </si>
  <si>
    <t>LAR</t>
  </si>
  <si>
    <t>Brock Purdy</t>
  </si>
  <si>
    <t>SF</t>
  </si>
  <si>
    <t>Bryce Young</t>
  </si>
  <si>
    <t>CAR</t>
  </si>
  <si>
    <t>Jimmy Garoppolo</t>
  </si>
  <si>
    <t>LV</t>
  </si>
  <si>
    <t>Ryan Tannehill</t>
  </si>
  <si>
    <t>TEN</t>
  </si>
  <si>
    <t>C.J. Stroud</t>
  </si>
  <si>
    <t>HOU</t>
  </si>
  <si>
    <t>Mac Jones</t>
  </si>
  <si>
    <t>NE</t>
  </si>
  <si>
    <t>Sam Howell</t>
  </si>
  <si>
    <t>WAS</t>
  </si>
  <si>
    <t>Kyler Murray</t>
  </si>
  <si>
    <t>ARI</t>
  </si>
  <si>
    <t>Baker Mayfield</t>
  </si>
  <si>
    <t>TB</t>
  </si>
  <si>
    <t>Desmond Ridder</t>
  </si>
  <si>
    <t>ATL</t>
  </si>
  <si>
    <t>Jacoby Brissett</t>
  </si>
  <si>
    <t>Colt McCoy</t>
  </si>
  <si>
    <t>Kyle Trask</t>
  </si>
  <si>
    <t>Will Levis</t>
  </si>
  <si>
    <t>Trey Lance</t>
  </si>
  <si>
    <t>Brian Hoyer</t>
  </si>
  <si>
    <t>Taylor Heinicke</t>
  </si>
  <si>
    <t>Gardner Minshew II</t>
  </si>
  <si>
    <t>Sam Darnold</t>
  </si>
  <si>
    <t>Mike White</t>
  </si>
  <si>
    <t>Brett Rypien</t>
  </si>
  <si>
    <t>Bailey Zappe</t>
  </si>
  <si>
    <t>Clayton Tune</t>
  </si>
  <si>
    <t>Davis Mills</t>
  </si>
  <si>
    <t>Tyrod Taylor</t>
  </si>
  <si>
    <t>Marcus Mariota</t>
  </si>
  <si>
    <t>Tyler Huntley</t>
  </si>
  <si>
    <t>Andy Dalton</t>
  </si>
  <si>
    <t>Mitch Trubisky</t>
  </si>
  <si>
    <t>Jarrett Stidham</t>
  </si>
  <si>
    <t>Sean Clifford</t>
  </si>
  <si>
    <t>Hendon Hooker</t>
  </si>
  <si>
    <t>Teddy Bridgewater</t>
  </si>
  <si>
    <t>Joshua Dobbs</t>
  </si>
  <si>
    <t>Blaine Gabbert</t>
  </si>
  <si>
    <t>Trevor Siemian</t>
  </si>
  <si>
    <t>Jameis Winston</t>
  </si>
  <si>
    <t>Nick Mullens</t>
  </si>
  <si>
    <t>Zach Wilson</t>
  </si>
  <si>
    <t>Stetson Bennett</t>
  </si>
  <si>
    <t>C.J. Beathard</t>
  </si>
  <si>
    <t>Easton Stick</t>
  </si>
  <si>
    <t>Drew Lock</t>
  </si>
  <si>
    <t>P.J. Walker</t>
  </si>
  <si>
    <t>Cooper Rush</t>
  </si>
  <si>
    <t>Kyle Allen</t>
  </si>
  <si>
    <t>Aidan O'Connell</t>
  </si>
  <si>
    <t>David Blough</t>
  </si>
  <si>
    <t>Dorian Thompson-Robinson</t>
  </si>
  <si>
    <t>Malik Willis</t>
  </si>
  <si>
    <t>Jeff Driskel</t>
  </si>
  <si>
    <t>Max Duggan</t>
  </si>
  <si>
    <t>Jaren Hall</t>
  </si>
  <si>
    <t>Tanner McKee</t>
  </si>
  <si>
    <t>Jake Haener</t>
  </si>
  <si>
    <t>Skylar Thompson</t>
  </si>
  <si>
    <t>Matt Barkley</t>
  </si>
  <si>
    <t>Case Keenum</t>
  </si>
  <si>
    <t>Matt Corral</t>
  </si>
  <si>
    <t>Mason Rudolph</t>
  </si>
  <si>
    <t>Sam Ehlinger</t>
  </si>
  <si>
    <t>Shane Buechele</t>
  </si>
  <si>
    <t>Nate Sudfeld</t>
  </si>
  <si>
    <t>Tommy DeVito</t>
  </si>
  <si>
    <t>Will Grier</t>
  </si>
  <si>
    <t>Josh Johnson</t>
  </si>
  <si>
    <t>QB</t>
  </si>
  <si>
    <t>Justin Jefferson</t>
  </si>
  <si>
    <t>Ja'Marr Chase</t>
  </si>
  <si>
    <t>Tyreek Hill</t>
  </si>
  <si>
    <t>Cooper Kupp</t>
  </si>
  <si>
    <t>CeeDee Lamb</t>
  </si>
  <si>
    <t>Stefon Diggs</t>
  </si>
  <si>
    <t>Davante Adams</t>
  </si>
  <si>
    <t>Amon-Ra St. Brown</t>
  </si>
  <si>
    <t>A.J. Brown</t>
  </si>
  <si>
    <t>Jaylen Waddle</t>
  </si>
  <si>
    <t>Garrett Wilson</t>
  </si>
  <si>
    <t>Chris Olave</t>
  </si>
  <si>
    <t>Tee Higgins</t>
  </si>
  <si>
    <t>DK Metcalf</t>
  </si>
  <si>
    <t>Deebo Samuel</t>
  </si>
  <si>
    <t>DeVonta Smith</t>
  </si>
  <si>
    <t>Calvin Ridley</t>
  </si>
  <si>
    <t>Christian Watson</t>
  </si>
  <si>
    <t>Amari Cooper</t>
  </si>
  <si>
    <t>Keenan Allen</t>
  </si>
  <si>
    <t>DJ Moore</t>
  </si>
  <si>
    <t>Mike Evans</t>
  </si>
  <si>
    <t>DeAndre Hopkins</t>
  </si>
  <si>
    <t>Mike Williams</t>
  </si>
  <si>
    <t>Terry McLaurin</t>
  </si>
  <si>
    <t>Chris Godwin</t>
  </si>
  <si>
    <t>Christian Kirk</t>
  </si>
  <si>
    <t>Tyler Lockett</t>
  </si>
  <si>
    <t>Drake London</t>
  </si>
  <si>
    <t>Marquise Brown</t>
  </si>
  <si>
    <t>Diontae Johnson</t>
  </si>
  <si>
    <t>Jerry Jeudy</t>
  </si>
  <si>
    <t>Brandon Aiyuk</t>
  </si>
  <si>
    <t>Jahan Dotson</t>
  </si>
  <si>
    <t>Michael Pittman Jr.</t>
  </si>
  <si>
    <t>Gabe Davis</t>
  </si>
  <si>
    <t>George Pickens</t>
  </si>
  <si>
    <t>Brandin Cooks</t>
  </si>
  <si>
    <t>Jordan Addison</t>
  </si>
  <si>
    <t>JuJu Smith-Schuster</t>
  </si>
  <si>
    <t>Michael Thomas</t>
  </si>
  <si>
    <t>Courtland Sutton</t>
  </si>
  <si>
    <t>Treylon Burks</t>
  </si>
  <si>
    <t>Jaxon Smith-Njigba</t>
  </si>
  <si>
    <t>Zay Flowers</t>
  </si>
  <si>
    <t>Jakobi Meyers</t>
  </si>
  <si>
    <t>Nico Collins</t>
  </si>
  <si>
    <t>Allen Lazard</t>
  </si>
  <si>
    <t>Kadarius Toney</t>
  </si>
  <si>
    <t>Tyler Boyd</t>
  </si>
  <si>
    <t>Rondale Moore</t>
  </si>
  <si>
    <t>Odell Beckham Jr.</t>
  </si>
  <si>
    <t>Zay Jones</t>
  </si>
  <si>
    <t>Romeo Doubs</t>
  </si>
  <si>
    <t>Darnell Mooney</t>
  </si>
  <si>
    <t>Michael Gallup</t>
  </si>
  <si>
    <t>DJ Chark Jr.</t>
  </si>
  <si>
    <t>Quentin Johnston</t>
  </si>
  <si>
    <t>Adam Thielen</t>
  </si>
  <si>
    <t>Marquez Valdes-Scantling</t>
  </si>
  <si>
    <t>Skyy Moore</t>
  </si>
  <si>
    <t>DeVante Parker</t>
  </si>
  <si>
    <t>Jonathan Mingo</t>
  </si>
  <si>
    <t>Hunter Renfrow</t>
  </si>
  <si>
    <t>Curtis Samuel</t>
  </si>
  <si>
    <t>K.J. Osborn</t>
  </si>
  <si>
    <t>Elijah Moore</t>
  </si>
  <si>
    <t>Van Jefferson</t>
  </si>
  <si>
    <t>Jayden Reed</t>
  </si>
  <si>
    <t>Donovan Peoples-Jones</t>
  </si>
  <si>
    <t>Isaiah Hodgins</t>
  </si>
  <si>
    <t>Mecole Hardman Jr.</t>
  </si>
  <si>
    <t>Rashod Bateman</t>
  </si>
  <si>
    <t>Robert Woods</t>
  </si>
  <si>
    <t>Jameson Williams</t>
  </si>
  <si>
    <t>Alec Pierce</t>
  </si>
  <si>
    <t>Russell Gage</t>
  </si>
  <si>
    <t>Rashid Shaheed</t>
  </si>
  <si>
    <t>Mack Hollins</t>
  </si>
  <si>
    <t>Chase Claypool</t>
  </si>
  <si>
    <t>Marvin Jones Jr.</t>
  </si>
  <si>
    <t>John Metchie III</t>
  </si>
  <si>
    <t>Darius Slayton</t>
  </si>
  <si>
    <t>Rashee Rice</t>
  </si>
  <si>
    <t>Parris Campbell</t>
  </si>
  <si>
    <t>Allen Robinson II</t>
  </si>
  <si>
    <t>Joshua Palmer</t>
  </si>
  <si>
    <t>Marvin Mims Jr.</t>
  </si>
  <si>
    <t>Kendrick Bourne</t>
  </si>
  <si>
    <t>Tyquan Thornton</t>
  </si>
  <si>
    <t>Wan'Dale Robinson</t>
  </si>
  <si>
    <t>Josh Reynolds</t>
  </si>
  <si>
    <t>Greg Dortch</t>
  </si>
  <si>
    <t>Nick Westbrook-Ikhine</t>
  </si>
  <si>
    <t>Jalin Hyatt</t>
  </si>
  <si>
    <t>Michael Wilson</t>
  </si>
  <si>
    <t>Randall Cobb</t>
  </si>
  <si>
    <t>Ben Skowronek</t>
  </si>
  <si>
    <t>Terrace Marshall Jr.</t>
  </si>
  <si>
    <t>Sterling Shepard</t>
  </si>
  <si>
    <t>Khalil Shakir</t>
  </si>
  <si>
    <t>Josh Downs</t>
  </si>
  <si>
    <t>Tank Dell</t>
  </si>
  <si>
    <t>Robbie Chosen</t>
  </si>
  <si>
    <t>Tutu Atwell</t>
  </si>
  <si>
    <t>Puka Nacua</t>
  </si>
  <si>
    <t>Richie James Jr.</t>
  </si>
  <si>
    <t>Laviska Shenault Jr.</t>
  </si>
  <si>
    <t>Trey Palmer</t>
  </si>
  <si>
    <t>Braxton Berrios</t>
  </si>
  <si>
    <t>Amari Rodgers</t>
  </si>
  <si>
    <t>Isaiah McKenzie</t>
  </si>
  <si>
    <t>Quez Watkins</t>
  </si>
  <si>
    <t>Anthony Miller</t>
  </si>
  <si>
    <t>Kalif Raymond</t>
  </si>
  <si>
    <t>Trent Sherfield</t>
  </si>
  <si>
    <t>Cedric Tillman</t>
  </si>
  <si>
    <t>Marquez Callaway</t>
  </si>
  <si>
    <t>Jauan Jennings</t>
  </si>
  <si>
    <t>Noah Brown</t>
  </si>
  <si>
    <t>Dyami Brown</t>
  </si>
  <si>
    <t>Olamide Zaccheaus</t>
  </si>
  <si>
    <t>Demario Douglas</t>
  </si>
  <si>
    <t>Demarcus Robinson</t>
  </si>
  <si>
    <t>Jamal Agnew</t>
  </si>
  <si>
    <t>Charlie Jones</t>
  </si>
  <si>
    <t>Kyle Philips</t>
  </si>
  <si>
    <t>Cedrick Wilson Jr.</t>
  </si>
  <si>
    <t>Marquise Goodwin</t>
  </si>
  <si>
    <t>David Moore</t>
  </si>
  <si>
    <t>Dontayvion Wicks</t>
  </si>
  <si>
    <t>Deven Thompkins</t>
  </si>
  <si>
    <t>Cade Johnson</t>
  </si>
  <si>
    <t>Calvin Austin III</t>
  </si>
  <si>
    <t>Trenton Irwin</t>
  </si>
  <si>
    <t>Chris Moore</t>
  </si>
  <si>
    <t>KhaDarel Hodge</t>
  </si>
  <si>
    <t>Zach Pascal</t>
  </si>
  <si>
    <t>Justin Watson</t>
  </si>
  <si>
    <t>Deonte Harty</t>
  </si>
  <si>
    <t>Justyn Ross</t>
  </si>
  <si>
    <t>Samori Toure</t>
  </si>
  <si>
    <t>Parker Washington</t>
  </si>
  <si>
    <t>Devin Duvernay</t>
  </si>
  <si>
    <t>A.T. Perry</t>
  </si>
  <si>
    <t>Jalen Guyton</t>
  </si>
  <si>
    <t>Kayshon Boutte</t>
  </si>
  <si>
    <t>Tre Nixon</t>
  </si>
  <si>
    <t>David Bell</t>
  </si>
  <si>
    <t>Brandon Powell</t>
  </si>
  <si>
    <t>Equanimeous St. Brown</t>
  </si>
  <si>
    <t>Jalen Nailor</t>
  </si>
  <si>
    <t>Kendall Hinton</t>
  </si>
  <si>
    <t>Jalen Tolbert</t>
  </si>
  <si>
    <t>Steven Sims Jr.</t>
  </si>
  <si>
    <t>DeAndre Carter</t>
  </si>
  <si>
    <t>Nelson Agholor</t>
  </si>
  <si>
    <t>Jason Brownlee</t>
  </si>
  <si>
    <t>Derius Davis</t>
  </si>
  <si>
    <t>Tre'Quan Smith</t>
  </si>
  <si>
    <t>Britain Covey</t>
  </si>
  <si>
    <t>Dee Eskridge</t>
  </si>
  <si>
    <t>Velus Jones Jr.</t>
  </si>
  <si>
    <t>Phillip Dorsett II</t>
  </si>
  <si>
    <t>Cole Beasley</t>
  </si>
  <si>
    <t>Scott Miller</t>
  </si>
  <si>
    <t>Shi Smith</t>
  </si>
  <si>
    <t>Keith Kirkwood</t>
  </si>
  <si>
    <t>Jamison Crowder</t>
  </si>
  <si>
    <t>Justin Shorter</t>
  </si>
  <si>
    <t>Kaylon Geiger Sr.</t>
  </si>
  <si>
    <t>Tre Tucker</t>
  </si>
  <si>
    <t>Gunner Olszewski</t>
  </si>
  <si>
    <t>Jakeem Grant Sr.</t>
  </si>
  <si>
    <t>Byron Pringle</t>
  </si>
  <si>
    <t>Dareke Young</t>
  </si>
  <si>
    <t>KaVontae Turpin</t>
  </si>
  <si>
    <t>Ashton Dulin</t>
  </si>
  <si>
    <t>River Cracraft</t>
  </si>
  <si>
    <t>Ray-Ray McCloud III</t>
  </si>
  <si>
    <t>Rakim Jarrett</t>
  </si>
  <si>
    <t>Cody Thompson</t>
  </si>
  <si>
    <t>Darrius Shepherd</t>
  </si>
  <si>
    <t>Erik Ezukanma</t>
  </si>
  <si>
    <t>Trinity Benson</t>
  </si>
  <si>
    <t>Kevin Austin Jr.</t>
  </si>
  <si>
    <t>Jalen Reagor</t>
  </si>
  <si>
    <t>Maurice Alexander</t>
  </si>
  <si>
    <t>Tim Jones</t>
  </si>
  <si>
    <t>Jalen Virgil</t>
  </si>
  <si>
    <t>Ronnie Bell</t>
  </si>
  <si>
    <t>Montrell Washington</t>
  </si>
  <si>
    <t>Dax Milne</t>
  </si>
  <si>
    <t>Isaiah Coulter</t>
  </si>
  <si>
    <t>Bo Melton</t>
  </si>
  <si>
    <t>Jason Moore Jr.</t>
  </si>
  <si>
    <t>Dezmon Patmon</t>
  </si>
  <si>
    <t>Easop Winston Jr.</t>
  </si>
  <si>
    <t>Simi Fehoko</t>
  </si>
  <si>
    <t>Stanley Morgan Jr.</t>
  </si>
  <si>
    <t>Seth Williams</t>
  </si>
  <si>
    <t>Dennis Houston</t>
  </si>
  <si>
    <t>Jacob Harris</t>
  </si>
  <si>
    <t>Matthew Slater</t>
  </si>
  <si>
    <t>Cody Chrest</t>
  </si>
  <si>
    <t>Danny Gray</t>
  </si>
  <si>
    <t>Andy Isabella</t>
  </si>
  <si>
    <t>Alex Erickson</t>
  </si>
  <si>
    <t>KeeSean Johnson</t>
  </si>
  <si>
    <t>Andre Baccellia</t>
  </si>
  <si>
    <t>Keelan Doss</t>
  </si>
  <si>
    <t>Austin Trammell</t>
  </si>
  <si>
    <t>Jaelon Darden</t>
  </si>
  <si>
    <t>Brandon Johnson</t>
  </si>
  <si>
    <t>C.J. Saunders</t>
  </si>
  <si>
    <t>Cam Sims</t>
  </si>
  <si>
    <t>Kawaan Baker</t>
  </si>
  <si>
    <t>Keke Coutee</t>
  </si>
  <si>
    <t>Keelan Cole Sr.</t>
  </si>
  <si>
    <t>Dez Fitzpatrick</t>
  </si>
  <si>
    <t>Michael Woods II</t>
  </si>
  <si>
    <t>David Sills V</t>
  </si>
  <si>
    <t>Mason Kinsey</t>
  </si>
  <si>
    <t>Anthony Schwartz</t>
  </si>
  <si>
    <t>Lance McCutcheon</t>
  </si>
  <si>
    <t>Trent Taylor</t>
  </si>
  <si>
    <t>Tylan Wallace</t>
  </si>
  <si>
    <t>Chris Conley</t>
  </si>
  <si>
    <t>Vyncint Smith</t>
  </si>
  <si>
    <t>Josh Ali</t>
  </si>
  <si>
    <t>Jalen Camp</t>
  </si>
  <si>
    <t>James Proche II</t>
  </si>
  <si>
    <t>Mike Strachan</t>
  </si>
  <si>
    <t>Daurice Fountain</t>
  </si>
  <si>
    <t>Greg Ward</t>
  </si>
  <si>
    <t>Nsimba Webster</t>
  </si>
  <si>
    <t>Racey McMath</t>
  </si>
  <si>
    <t>Miles Boykin</t>
  </si>
  <si>
    <t>Breshad Perriman</t>
  </si>
  <si>
    <t>Kirk Merritt</t>
  </si>
  <si>
    <t>Reggie Roberson Jr.</t>
  </si>
  <si>
    <t>Bryce Ford-Wheaton</t>
  </si>
  <si>
    <t>Jalen Brooks</t>
  </si>
  <si>
    <t>Tyler Scott</t>
  </si>
  <si>
    <t>Demetric Felton Jr.</t>
  </si>
  <si>
    <t>Xavier Hutchinson</t>
  </si>
  <si>
    <t>Andrei Iosivas</t>
  </si>
  <si>
    <t>WR</t>
  </si>
  <si>
    <t>Christian McCaffrey</t>
  </si>
  <si>
    <t>Austin Ekeler</t>
  </si>
  <si>
    <t>Derrick Henry</t>
  </si>
  <si>
    <t>Bijan Robinson</t>
  </si>
  <si>
    <t>Saquon Barkley</t>
  </si>
  <si>
    <t>Tony Pollard</t>
  </si>
  <si>
    <t>Nick Chubb</t>
  </si>
  <si>
    <t>Josh Jacobs</t>
  </si>
  <si>
    <t>Jonathan Taylor</t>
  </si>
  <si>
    <t>Joe Mixon</t>
  </si>
  <si>
    <t>Aaron Jones</t>
  </si>
  <si>
    <t>Najee Harris</t>
  </si>
  <si>
    <t>Rhamondre Stevenson</t>
  </si>
  <si>
    <t>Travis Etienne Jr.</t>
  </si>
  <si>
    <t>Alexander Mattison</t>
  </si>
  <si>
    <t>James Conner</t>
  </si>
  <si>
    <t>Kenneth Walker III</t>
  </si>
  <si>
    <t>Dameon Pierce</t>
  </si>
  <si>
    <t>Jahmyr Gibbs</t>
  </si>
  <si>
    <t>Breece Hall</t>
  </si>
  <si>
    <t>Rachaad White</t>
  </si>
  <si>
    <t>Miles Sanders</t>
  </si>
  <si>
    <t>J.K. Dobbins</t>
  </si>
  <si>
    <t>Cam Akers</t>
  </si>
  <si>
    <t>Isiah Pacheco</t>
  </si>
  <si>
    <t>James Cook</t>
  </si>
  <si>
    <t>David Montgomery</t>
  </si>
  <si>
    <t>Alvin Kamara</t>
  </si>
  <si>
    <t>Javonte Williams</t>
  </si>
  <si>
    <t>D'Andre Swift</t>
  </si>
  <si>
    <t>Khalil Herbert</t>
  </si>
  <si>
    <t>Dalvin Cook</t>
  </si>
  <si>
    <t>AJ Dillon</t>
  </si>
  <si>
    <t>Samaje Perine</t>
  </si>
  <si>
    <t>Antonio Gibson</t>
  </si>
  <si>
    <t>Brian Robinson Jr.</t>
  </si>
  <si>
    <t>Jeff Wilson Jr.</t>
  </si>
  <si>
    <t>Jamaal Williams</t>
  </si>
  <si>
    <t>Raheem Mostert</t>
  </si>
  <si>
    <t>Rashaad Penny</t>
  </si>
  <si>
    <t>Elijah Mitchell</t>
  </si>
  <si>
    <t>Zach Charbonnet</t>
  </si>
  <si>
    <t>Tyler Allgeier</t>
  </si>
  <si>
    <t>Jaylen Warren</t>
  </si>
  <si>
    <t>Jerick McKinnon</t>
  </si>
  <si>
    <t>Ezekiel Elliott</t>
  </si>
  <si>
    <t>Damien Harris</t>
  </si>
  <si>
    <t>Chuba Hubbard</t>
  </si>
  <si>
    <t>Kenneth Gainwell</t>
  </si>
  <si>
    <t>Devin Singletary</t>
  </si>
  <si>
    <t>De'Von Achane</t>
  </si>
  <si>
    <t>D'Onta Foreman</t>
  </si>
  <si>
    <t>Tank Bigsby</t>
  </si>
  <si>
    <t>Gus Edwards</t>
  </si>
  <si>
    <t>Cordarrelle Patterson</t>
  </si>
  <si>
    <t>Roschon Johnson</t>
  </si>
  <si>
    <t>Kyren Williams</t>
  </si>
  <si>
    <t>Tyjae Spears</t>
  </si>
  <si>
    <t>Joshua Kelley</t>
  </si>
  <si>
    <t>Chase Edmonds</t>
  </si>
  <si>
    <t>Clyde Edwards-Helaire</t>
  </si>
  <si>
    <t>Ty Chandler</t>
  </si>
  <si>
    <t>Chase Brown</t>
  </si>
  <si>
    <t>Jerome Ford</t>
  </si>
  <si>
    <t>Kendre Miller</t>
  </si>
  <si>
    <t>Keaontay Ingram</t>
  </si>
  <si>
    <t>Latavius Murray</t>
  </si>
  <si>
    <t>Matt Breida</t>
  </si>
  <si>
    <t>Zack Moss</t>
  </si>
  <si>
    <t>Deuce Vaughn</t>
  </si>
  <si>
    <t>Abram Smith</t>
  </si>
  <si>
    <t>Ronald Jones II</t>
  </si>
  <si>
    <t>Isaiah Spiller</t>
  </si>
  <si>
    <t>Zamir White</t>
  </si>
  <si>
    <t>Kenyan Drake</t>
  </si>
  <si>
    <t>Corey Clement</t>
  </si>
  <si>
    <t>Zach Evans</t>
  </si>
  <si>
    <t>Sean Tucker</t>
  </si>
  <si>
    <t>JaMycal Hasty</t>
  </si>
  <si>
    <t>Michael Carter</t>
  </si>
  <si>
    <t>Ameer Abdullah</t>
  </si>
  <si>
    <t>Eric Gray</t>
  </si>
  <si>
    <t>Ke'Shawn Vaughn</t>
  </si>
  <si>
    <t>Melvin Gordon III</t>
  </si>
  <si>
    <t>Evan Hull</t>
  </si>
  <si>
    <t>Trayveon Williams</t>
  </si>
  <si>
    <t>Jordan Mason</t>
  </si>
  <si>
    <t>Raheem Blackshear</t>
  </si>
  <si>
    <t>Chris Rodriguez Jr.</t>
  </si>
  <si>
    <t>Chris Evans</t>
  </si>
  <si>
    <t>Pierre Strong Jr.</t>
  </si>
  <si>
    <t>Rico Dowdle</t>
  </si>
  <si>
    <t>Hassan Haskins</t>
  </si>
  <si>
    <t>Kene Nwangwu</t>
  </si>
  <si>
    <t>DeeJay Dallas</t>
  </si>
  <si>
    <t>Craig Reynolds</t>
  </si>
  <si>
    <t>Ty Montgomery</t>
  </si>
  <si>
    <t>Deon Jackson</t>
  </si>
  <si>
    <t>Anthony McFarland Jr.</t>
  </si>
  <si>
    <t>Malik Davis</t>
  </si>
  <si>
    <t>Kyle Juszczyk</t>
  </si>
  <si>
    <t>DeWayne McBride</t>
  </si>
  <si>
    <t>Lew Nichols III</t>
  </si>
  <si>
    <t>Boston Scott</t>
  </si>
  <si>
    <t>Zonovan Knight</t>
  </si>
  <si>
    <t>Tyrion Davis-Price</t>
  </si>
  <si>
    <t>Travis Homer</t>
  </si>
  <si>
    <t>Tyler Badie</t>
  </si>
  <si>
    <t>Deneric Prince</t>
  </si>
  <si>
    <t>D'Ernest Johnson</t>
  </si>
  <si>
    <t>Patrick Taylor Jr.</t>
  </si>
  <si>
    <t>Dare Ogunbowale</t>
  </si>
  <si>
    <t>Gary Brightwell</t>
  </si>
  <si>
    <t>James Robinson</t>
  </si>
  <si>
    <t>Damien Williams</t>
  </si>
  <si>
    <t>Tony Jones Jr.</t>
  </si>
  <si>
    <t>Hunter Luepke</t>
  </si>
  <si>
    <t>Kevin Harris</t>
  </si>
  <si>
    <t>John Kelly Jr.</t>
  </si>
  <si>
    <t>Ty Johnson</t>
  </si>
  <si>
    <t>Salvon Ahmed</t>
  </si>
  <si>
    <t>Snoop Conner</t>
  </si>
  <si>
    <t>Brandon Bolden</t>
  </si>
  <si>
    <t>Justice Hill</t>
  </si>
  <si>
    <t>Jonathan Williams</t>
  </si>
  <si>
    <t>Reggie Gilliam</t>
  </si>
  <si>
    <t>Myles Gaskin</t>
  </si>
  <si>
    <t>J.J. Taylor</t>
  </si>
  <si>
    <t>Elijah Dotson</t>
  </si>
  <si>
    <t>Alec Ingold</t>
  </si>
  <si>
    <t>Jake Funk</t>
  </si>
  <si>
    <t>Ty'Son Williams</t>
  </si>
  <si>
    <t>Mike Boone</t>
  </si>
  <si>
    <t>Zander Horvath</t>
  </si>
  <si>
    <t>Trey Sermon</t>
  </si>
  <si>
    <t>Royce Freeman</t>
  </si>
  <si>
    <t>C.J. Ham</t>
  </si>
  <si>
    <t>Julius Chestnut</t>
  </si>
  <si>
    <t>Jermar Jefferson</t>
  </si>
  <si>
    <t>Jonathan Ward</t>
  </si>
  <si>
    <t>Patrick Ricard</t>
  </si>
  <si>
    <t>La'Mical Perine</t>
  </si>
  <si>
    <t>Godwin Igwebuike</t>
  </si>
  <si>
    <t>Trestan Ebner</t>
  </si>
  <si>
    <t>Ronnie Rivers</t>
  </si>
  <si>
    <t>Qadree Ollison</t>
  </si>
  <si>
    <t>Patrick Laird</t>
  </si>
  <si>
    <t>Jason Cabinda</t>
  </si>
  <si>
    <t>Giovanni Ricci</t>
  </si>
  <si>
    <t>Darrynton Evans</t>
  </si>
  <si>
    <t>Spencer Brown</t>
  </si>
  <si>
    <t>Brittain Brown</t>
  </si>
  <si>
    <t>Larry Rountree III</t>
  </si>
  <si>
    <t>Nate McCrary</t>
  </si>
  <si>
    <t>Gerrid Doaks</t>
  </si>
  <si>
    <t>Avery Williams</t>
  </si>
  <si>
    <t>Jaret Patterson</t>
  </si>
  <si>
    <t>Adam Prentice</t>
  </si>
  <si>
    <t>Jakob Johnson</t>
  </si>
  <si>
    <t>Henry Pearson</t>
  </si>
  <si>
    <t>Michael Burton</t>
  </si>
  <si>
    <t>Jack Colletto</t>
  </si>
  <si>
    <t>Jason Huntley</t>
  </si>
  <si>
    <t>Khari Blasingame</t>
  </si>
  <si>
    <t>Keith Smith</t>
  </si>
  <si>
    <t>Nick Bellore</t>
  </si>
  <si>
    <t>Nick Bawden</t>
  </si>
  <si>
    <t>Ellis Merriweather</t>
  </si>
  <si>
    <t>Tyler Goodson</t>
  </si>
  <si>
    <t>Alex Armah Jr.</t>
  </si>
  <si>
    <t>Dwayne Washington</t>
  </si>
  <si>
    <t>Clint Ratkovich</t>
  </si>
  <si>
    <t>Jaleel McLaughlin</t>
  </si>
  <si>
    <t>Israel Abanikanda</t>
  </si>
  <si>
    <t>Kenny McIntosh</t>
  </si>
  <si>
    <t>Darrel Williams</t>
  </si>
  <si>
    <t>Keaton Mitchell</t>
  </si>
  <si>
    <t>Mohamed Ibrahim</t>
  </si>
  <si>
    <t>RB</t>
  </si>
  <si>
    <t>Travis Kelce</t>
  </si>
  <si>
    <t>Mark Andrews</t>
  </si>
  <si>
    <t>T.J. Hockenson</t>
  </si>
  <si>
    <t>Darren Waller</t>
  </si>
  <si>
    <t>George Kittle</t>
  </si>
  <si>
    <t>Kyle Pitts</t>
  </si>
  <si>
    <t>Dallas Goedert</t>
  </si>
  <si>
    <t>Evan Engram</t>
  </si>
  <si>
    <t>Pat Freiermuth</t>
  </si>
  <si>
    <t>Dalton Schultz</t>
  </si>
  <si>
    <t>David Njoku</t>
  </si>
  <si>
    <t>Tyler Higbee</t>
  </si>
  <si>
    <t>Chigoziem Okonkwo</t>
  </si>
  <si>
    <t>Cole Kmet</t>
  </si>
  <si>
    <t>Gerald Everett</t>
  </si>
  <si>
    <t>Greg Dulcich</t>
  </si>
  <si>
    <t>Dalton Kincaid</t>
  </si>
  <si>
    <t>Juwan Johnson</t>
  </si>
  <si>
    <t>Sam LaPorta</t>
  </si>
  <si>
    <t>Irv Smith Jr.</t>
  </si>
  <si>
    <t>Hunter Henry</t>
  </si>
  <si>
    <t>Noah Fant</t>
  </si>
  <si>
    <t>Zach Ertz</t>
  </si>
  <si>
    <t>Cade Otton</t>
  </si>
  <si>
    <t>Hayden Hurst</t>
  </si>
  <si>
    <t>Tyler Conklin</t>
  </si>
  <si>
    <t>Dawson Knox</t>
  </si>
  <si>
    <t>Jelani Woods</t>
  </si>
  <si>
    <t>Mike Gesicki</t>
  </si>
  <si>
    <t>Logan Thomas</t>
  </si>
  <si>
    <t>Jake Ferguson</t>
  </si>
  <si>
    <t>Michael Mayer</t>
  </si>
  <si>
    <t>Luke Musgrave</t>
  </si>
  <si>
    <t>Trey McBride</t>
  </si>
  <si>
    <t>Taysom Hill</t>
  </si>
  <si>
    <t>Austin Hooper</t>
  </si>
  <si>
    <t>Isaiah Likely</t>
  </si>
  <si>
    <t>Noah Gray</t>
  </si>
  <si>
    <t>Luke Schoonmaker</t>
  </si>
  <si>
    <t>Adam Trautman</t>
  </si>
  <si>
    <t>Foster Moreau</t>
  </si>
  <si>
    <t>Will Dissly</t>
  </si>
  <si>
    <t>Donald Parham Jr.</t>
  </si>
  <si>
    <t>Jonnu Smith</t>
  </si>
  <si>
    <t>Brock Wright</t>
  </si>
  <si>
    <t>Robert Tonyan</t>
  </si>
  <si>
    <t>C.J. Uzomah</t>
  </si>
  <si>
    <t>Durham Smythe</t>
  </si>
  <si>
    <t>Brenton Strange</t>
  </si>
  <si>
    <t>Jordan Akins</t>
  </si>
  <si>
    <t>Josiah Deguara</t>
  </si>
  <si>
    <t>Harrison Bryant</t>
  </si>
  <si>
    <t>Kylen Granson</t>
  </si>
  <si>
    <t>Brevin Jordan</t>
  </si>
  <si>
    <t>Josh Oliver</t>
  </si>
  <si>
    <t>Tucker Kraft</t>
  </si>
  <si>
    <t>Tommy Tremble</t>
  </si>
  <si>
    <t>Ian Thomas</t>
  </si>
  <si>
    <t>Mo Alie-Cox</t>
  </si>
  <si>
    <t>Jimmy Graham</t>
  </si>
  <si>
    <t>Colby Parkinson</t>
  </si>
  <si>
    <t>Darnell Washington</t>
  </si>
  <si>
    <t>Daniel Bellinger</t>
  </si>
  <si>
    <t>Geoff Swaim</t>
  </si>
  <si>
    <t>Elijah Higgins</t>
  </si>
  <si>
    <t>Teagan Quitoriano</t>
  </si>
  <si>
    <t>Lawrence Cager</t>
  </si>
  <si>
    <t>Dan Arnold</t>
  </si>
  <si>
    <t>Eric Saubert</t>
  </si>
  <si>
    <t>Charlie Kolar</t>
  </si>
  <si>
    <t>Blake Bell</t>
  </si>
  <si>
    <t>Payne Durham</t>
  </si>
  <si>
    <t>Albert Okwuegbunam</t>
  </si>
  <si>
    <t>Peyton Hendershot</t>
  </si>
  <si>
    <t>Brycen Hopkins</t>
  </si>
  <si>
    <t>Cameron Latu</t>
  </si>
  <si>
    <t>John Bates</t>
  </si>
  <si>
    <t>Brayden Willis</t>
  </si>
  <si>
    <t>Hunter Long</t>
  </si>
  <si>
    <t>Miller Forristall</t>
  </si>
  <si>
    <t>Ko Kieft</t>
  </si>
  <si>
    <t>Connor Heyward</t>
  </si>
  <si>
    <t>Davis Allen</t>
  </si>
  <si>
    <t>Tre' McKitty</t>
  </si>
  <si>
    <t>Andrew Ogletree</t>
  </si>
  <si>
    <t>James Mitchell</t>
  </si>
  <si>
    <t>Josh Whyle</t>
  </si>
  <si>
    <t>Zach Gentry</t>
  </si>
  <si>
    <t>Jack Stoll</t>
  </si>
  <si>
    <t>Zack Kuntz</t>
  </si>
  <si>
    <t>Marcedes Lewis</t>
  </si>
  <si>
    <t>Stephen Sullivan</t>
  </si>
  <si>
    <t>Tyler Kroft</t>
  </si>
  <si>
    <t>Tanner Hudson</t>
  </si>
  <si>
    <t>Jeremy Ruckert</t>
  </si>
  <si>
    <t>Drew Sample</t>
  </si>
  <si>
    <t>Trevon Wesco</t>
  </si>
  <si>
    <t>Jody Fortson</t>
  </si>
  <si>
    <t>Cole Turner</t>
  </si>
  <si>
    <t>Andrew Beck</t>
  </si>
  <si>
    <t>Stone Smartt</t>
  </si>
  <si>
    <t>Johnny Mundt</t>
  </si>
  <si>
    <t>Ross Dwelley</t>
  </si>
  <si>
    <t>Quintin Morris</t>
  </si>
  <si>
    <t>Luke Farrell</t>
  </si>
  <si>
    <t>Curtis Hodges</t>
  </si>
  <si>
    <t>Will Mallory</t>
  </si>
  <si>
    <t>Jesper Horsted</t>
  </si>
  <si>
    <t>Mitchell Wilcox</t>
  </si>
  <si>
    <t>Chris Manhertz</t>
  </si>
  <si>
    <t>Devin Asiasi</t>
  </si>
  <si>
    <t>Armani Rogers</t>
  </si>
  <si>
    <t>Shane Zylstra</t>
  </si>
  <si>
    <t>Anthony Firkser</t>
  </si>
  <si>
    <t>Grant Calcaterra</t>
  </si>
  <si>
    <t>Eric Tomlinson</t>
  </si>
  <si>
    <t>Kevin Rader</t>
  </si>
  <si>
    <t>Tommy Sweeney</t>
  </si>
  <si>
    <t>Chris Myarick</t>
  </si>
  <si>
    <t>Dominique Dafney</t>
  </si>
  <si>
    <t>MyCole Pruitt</t>
  </si>
  <si>
    <t>David Wells</t>
  </si>
  <si>
    <t>Tanner Conner</t>
  </si>
  <si>
    <t>Mason Schreck</t>
  </si>
  <si>
    <t>Dalton Keene</t>
  </si>
  <si>
    <t>Charlie Woerner</t>
  </si>
  <si>
    <t>Jacob Hollister</t>
  </si>
  <si>
    <t>Noah Togiai</t>
  </si>
  <si>
    <t>Parker Hesse</t>
  </si>
  <si>
    <t>Pharaoh Brown</t>
  </si>
  <si>
    <t>Feleipe Franks</t>
  </si>
  <si>
    <t>Kaden Smith</t>
  </si>
  <si>
    <t>Tyler Mabry</t>
  </si>
  <si>
    <t>Tyler Davis</t>
  </si>
  <si>
    <t>Matt Sokol</t>
  </si>
  <si>
    <t>Nick Vannett</t>
  </si>
  <si>
    <t>Sean McKeon</t>
  </si>
  <si>
    <t>Hunter Kampmoyer</t>
  </si>
  <si>
    <t>Ben Mason</t>
  </si>
  <si>
    <t>Kendall Blanton</t>
  </si>
  <si>
    <t>Stephen Carlson</t>
  </si>
  <si>
    <t>Tyree Jackson</t>
  </si>
  <si>
    <t>TE</t>
  </si>
  <si>
    <t>Daniel Carlson</t>
  </si>
  <si>
    <t>Harrison Butker</t>
  </si>
  <si>
    <t>Tyler Bass</t>
  </si>
  <si>
    <t>Justin Tucker</t>
  </si>
  <si>
    <t>Evan McPherson</t>
  </si>
  <si>
    <t>Jason Myers</t>
  </si>
  <si>
    <t>Greg Joseph</t>
  </si>
  <si>
    <t>Cameron Dicker</t>
  </si>
  <si>
    <t>Jake Elliott</t>
  </si>
  <si>
    <t>Younghoe Koo</t>
  </si>
  <si>
    <t>Brandon McManus</t>
  </si>
  <si>
    <t>Greg Zuerlein</t>
  </si>
  <si>
    <t>Jake Moody</t>
  </si>
  <si>
    <t>Graham Gano</t>
  </si>
  <si>
    <t>Cairo Santos</t>
  </si>
  <si>
    <t>Dustin Hopkins</t>
  </si>
  <si>
    <t>Jason Sanders</t>
  </si>
  <si>
    <t>Riley Patterson</t>
  </si>
  <si>
    <t>Nick Folk</t>
  </si>
  <si>
    <t>Matt Gay</t>
  </si>
  <si>
    <t>Wil Lutz</t>
  </si>
  <si>
    <t>Cade York</t>
  </si>
  <si>
    <t>Chris Boswell</t>
  </si>
  <si>
    <t>Brett Maher</t>
  </si>
  <si>
    <t>Matt Prater</t>
  </si>
  <si>
    <t>Ka'imi Fairbairn</t>
  </si>
  <si>
    <t>Chase McLaughlin</t>
  </si>
  <si>
    <t>Eddy Pineiro</t>
  </si>
  <si>
    <t>Michael Badgley</t>
  </si>
  <si>
    <t>Brandon Aubrey</t>
  </si>
  <si>
    <t>Anders Carlson</t>
  </si>
  <si>
    <t>Chad Ryland</t>
  </si>
  <si>
    <t>Tanner Brown</t>
  </si>
  <si>
    <t>Joey Slye</t>
  </si>
  <si>
    <t>K</t>
  </si>
  <si>
    <t>Value</t>
  </si>
  <si>
    <t>PAR</t>
  </si>
  <si>
    <t>PAR_PG</t>
  </si>
  <si>
    <t>PAR Value</t>
  </si>
  <si>
    <t>PAR Value Sum</t>
  </si>
  <si>
    <t>Total $</t>
  </si>
  <si>
    <t>Inflation</t>
  </si>
  <si>
    <t>Inf Value</t>
  </si>
  <si>
    <t>Players Drafted</t>
  </si>
  <si>
    <t>Inf %</t>
  </si>
  <si>
    <t>$</t>
  </si>
  <si>
    <t>FLEX</t>
  </si>
  <si>
    <t>Flex</t>
  </si>
  <si>
    <t>Super</t>
  </si>
  <si>
    <t>Def</t>
  </si>
  <si>
    <t>Name</t>
  </si>
  <si>
    <t>$ Remaining</t>
  </si>
  <si>
    <t>PAR_PPD</t>
  </si>
  <si>
    <t>Total</t>
  </si>
  <si>
    <t>Defensive Players</t>
  </si>
  <si>
    <t>Non Defensive Players</t>
  </si>
  <si>
    <t>Matchups</t>
  </si>
  <si>
    <t>Per Game</t>
  </si>
  <si>
    <t>Salary</t>
  </si>
  <si>
    <t>Above Replacement</t>
  </si>
  <si>
    <t>Sum</t>
  </si>
  <si>
    <t>Average Score</t>
  </si>
  <si>
    <t>Our Goal</t>
  </si>
  <si>
    <t>Budget Value</t>
  </si>
  <si>
    <t>Pos Rank</t>
  </si>
  <si>
    <t>A</t>
  </si>
  <si>
    <t>E</t>
  </si>
  <si>
    <t>B</t>
  </si>
  <si>
    <t>C</t>
  </si>
  <si>
    <t>Estimated Cost</t>
  </si>
  <si>
    <t>EC</t>
  </si>
  <si>
    <t>Difference</t>
  </si>
  <si>
    <t>Cardinals</t>
  </si>
  <si>
    <t>Bottom 5</t>
  </si>
  <si>
    <t>Top 5</t>
  </si>
  <si>
    <t>Rams</t>
  </si>
  <si>
    <t>Raiders</t>
  </si>
  <si>
    <t>Estimated Cost\</t>
  </si>
  <si>
    <t>Star Budget</t>
  </si>
  <si>
    <t>Star Difference</t>
  </si>
  <si>
    <t>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</si>
</sst>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232A31"/>
      <name val="Yahoo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/>
    <xf numFmtId="6" fontId="2" fillId="2" borderId="0" xfId="0" applyNumberFormat="1" applyFont="1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4">
    <dxf>
      <fill>
        <patternFill>
          <bgColor rgb="FFFF0066"/>
        </patternFill>
      </fill>
    </dxf>
    <dxf>
      <fill>
        <patternFill>
          <bgColor rgb="FF00B0F0"/>
        </patternFill>
      </fill>
    </dxf>
    <dxf>
      <fill>
        <patternFill>
          <bgColor rgb="FFCC66FF"/>
        </patternFill>
      </fill>
    </dxf>
    <dxf>
      <fill>
        <patternFill>
          <bgColor rgb="FF66FFCC"/>
        </patternFill>
      </fill>
    </dxf>
  </dxfs>
  <tableStyles count="0" defaultTableStyle="TableStyleMedium2" defaultPivotStyle="PivotStyleLight16"/>
  <colors>
    <mruColors>
      <color rgb="FF66FFCC"/>
      <color rgb="FFCC66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586869823090298E-2"/>
          <c:y val="0.17171296296296298"/>
          <c:w val="0.90456897433275385"/>
          <c:h val="0.6149843248760571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Sheet1!$X$38:$X$69</c:f>
              <c:numCache>
                <c:formatCode>General</c:formatCode>
                <c:ptCount val="32"/>
                <c:pt idx="0">
                  <c:v>194</c:v>
                </c:pt>
                <c:pt idx="1">
                  <c:v>190.60000000000002</c:v>
                </c:pt>
                <c:pt idx="2">
                  <c:v>186.5</c:v>
                </c:pt>
                <c:pt idx="3">
                  <c:v>161.19999999999999</c:v>
                </c:pt>
                <c:pt idx="4">
                  <c:v>156.10000000000002</c:v>
                </c:pt>
                <c:pt idx="5">
                  <c:v>136.89999999999998</c:v>
                </c:pt>
                <c:pt idx="6">
                  <c:v>131.60000000000002</c:v>
                </c:pt>
                <c:pt idx="7">
                  <c:v>121.5</c:v>
                </c:pt>
                <c:pt idx="8">
                  <c:v>111.10000000000002</c:v>
                </c:pt>
                <c:pt idx="9">
                  <c:v>110.89999999999998</c:v>
                </c:pt>
                <c:pt idx="10">
                  <c:v>110</c:v>
                </c:pt>
                <c:pt idx="11">
                  <c:v>108</c:v>
                </c:pt>
                <c:pt idx="12">
                  <c:v>106.10000000000002</c:v>
                </c:pt>
                <c:pt idx="13">
                  <c:v>90.899999999999977</c:v>
                </c:pt>
                <c:pt idx="14">
                  <c:v>90.699999999999989</c:v>
                </c:pt>
                <c:pt idx="15">
                  <c:v>89.600000000000023</c:v>
                </c:pt>
                <c:pt idx="16">
                  <c:v>86.199999999999989</c:v>
                </c:pt>
                <c:pt idx="17">
                  <c:v>81.300000000000011</c:v>
                </c:pt>
                <c:pt idx="18">
                  <c:v>64.800000000000011</c:v>
                </c:pt>
                <c:pt idx="19">
                  <c:v>62.400000000000006</c:v>
                </c:pt>
                <c:pt idx="20">
                  <c:v>61.800000000000011</c:v>
                </c:pt>
                <c:pt idx="21">
                  <c:v>57.800000000000011</c:v>
                </c:pt>
                <c:pt idx="22">
                  <c:v>53.199999999999989</c:v>
                </c:pt>
                <c:pt idx="23">
                  <c:v>48.199999999999989</c:v>
                </c:pt>
                <c:pt idx="24">
                  <c:v>37.900000000000006</c:v>
                </c:pt>
                <c:pt idx="25">
                  <c:v>33.199999999999989</c:v>
                </c:pt>
                <c:pt idx="26">
                  <c:v>28.699999999999989</c:v>
                </c:pt>
                <c:pt idx="27">
                  <c:v>27.800000000000011</c:v>
                </c:pt>
                <c:pt idx="28">
                  <c:v>24.599999999999994</c:v>
                </c:pt>
                <c:pt idx="29">
                  <c:v>17.900000000000006</c:v>
                </c:pt>
                <c:pt idx="30">
                  <c:v>2.9000000000000057</c:v>
                </c:pt>
                <c:pt idx="3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3-451E-8EB9-C96699010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195055"/>
        <c:axId val="1292169679"/>
      </c:scatterChart>
      <c:valAx>
        <c:axId val="174319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69679"/>
        <c:crosses val="autoZero"/>
        <c:crossBetween val="midCat"/>
      </c:valAx>
      <c:valAx>
        <c:axId val="129216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19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Sheet1!$Y$38:$Y$163</c:f>
              <c:numCache>
                <c:formatCode>General</c:formatCode>
                <c:ptCount val="126"/>
                <c:pt idx="0">
                  <c:v>194</c:v>
                </c:pt>
                <c:pt idx="1">
                  <c:v>190.60000000000002</c:v>
                </c:pt>
                <c:pt idx="2">
                  <c:v>186.5</c:v>
                </c:pt>
                <c:pt idx="3">
                  <c:v>167.29999999999998</c:v>
                </c:pt>
                <c:pt idx="4">
                  <c:v>161.19999999999999</c:v>
                </c:pt>
                <c:pt idx="5">
                  <c:v>160.29999999999998</c:v>
                </c:pt>
                <c:pt idx="6">
                  <c:v>156.10000000000002</c:v>
                </c:pt>
                <c:pt idx="7">
                  <c:v>154.9</c:v>
                </c:pt>
                <c:pt idx="8">
                  <c:v>154.1</c:v>
                </c:pt>
                <c:pt idx="9">
                  <c:v>138.1</c:v>
                </c:pt>
                <c:pt idx="10">
                  <c:v>136.89999999999998</c:v>
                </c:pt>
                <c:pt idx="11">
                  <c:v>132.4</c:v>
                </c:pt>
                <c:pt idx="12">
                  <c:v>131.60000000000002</c:v>
                </c:pt>
                <c:pt idx="13">
                  <c:v>130.69999999999999</c:v>
                </c:pt>
                <c:pt idx="14">
                  <c:v>121.5</c:v>
                </c:pt>
                <c:pt idx="15">
                  <c:v>115.79999999999998</c:v>
                </c:pt>
                <c:pt idx="16">
                  <c:v>114.29999999999998</c:v>
                </c:pt>
                <c:pt idx="17">
                  <c:v>111.10000000000002</c:v>
                </c:pt>
                <c:pt idx="18">
                  <c:v>110.89999999999998</c:v>
                </c:pt>
                <c:pt idx="19">
                  <c:v>110</c:v>
                </c:pt>
                <c:pt idx="20">
                  <c:v>108</c:v>
                </c:pt>
                <c:pt idx="21">
                  <c:v>106.10000000000002</c:v>
                </c:pt>
                <c:pt idx="22">
                  <c:v>104</c:v>
                </c:pt>
                <c:pt idx="23">
                  <c:v>103.5</c:v>
                </c:pt>
                <c:pt idx="24">
                  <c:v>95.799999999999983</c:v>
                </c:pt>
                <c:pt idx="25">
                  <c:v>94.699999999999989</c:v>
                </c:pt>
                <c:pt idx="26">
                  <c:v>92</c:v>
                </c:pt>
                <c:pt idx="27">
                  <c:v>90.899999999999977</c:v>
                </c:pt>
                <c:pt idx="28">
                  <c:v>90.799999999999983</c:v>
                </c:pt>
                <c:pt idx="29">
                  <c:v>90.699999999999989</c:v>
                </c:pt>
                <c:pt idx="30">
                  <c:v>89.9</c:v>
                </c:pt>
                <c:pt idx="31">
                  <c:v>89.600000000000023</c:v>
                </c:pt>
                <c:pt idx="32">
                  <c:v>88.6</c:v>
                </c:pt>
                <c:pt idx="33">
                  <c:v>87.299999999999983</c:v>
                </c:pt>
                <c:pt idx="34">
                  <c:v>87.1</c:v>
                </c:pt>
                <c:pt idx="35">
                  <c:v>86.199999999999989</c:v>
                </c:pt>
                <c:pt idx="36">
                  <c:v>85.9</c:v>
                </c:pt>
                <c:pt idx="37">
                  <c:v>81.300000000000011</c:v>
                </c:pt>
                <c:pt idx="38">
                  <c:v>77.699999999999989</c:v>
                </c:pt>
                <c:pt idx="39">
                  <c:v>77</c:v>
                </c:pt>
                <c:pt idx="40">
                  <c:v>75.900000000000006</c:v>
                </c:pt>
                <c:pt idx="41">
                  <c:v>75.699999999999989</c:v>
                </c:pt>
                <c:pt idx="42">
                  <c:v>75.199999999999989</c:v>
                </c:pt>
                <c:pt idx="43">
                  <c:v>73.599999999999994</c:v>
                </c:pt>
                <c:pt idx="44">
                  <c:v>72.599999999999994</c:v>
                </c:pt>
                <c:pt idx="45">
                  <c:v>68.799999999999983</c:v>
                </c:pt>
                <c:pt idx="46">
                  <c:v>67.5</c:v>
                </c:pt>
                <c:pt idx="47">
                  <c:v>66.699999999999989</c:v>
                </c:pt>
                <c:pt idx="48">
                  <c:v>65.5</c:v>
                </c:pt>
                <c:pt idx="49">
                  <c:v>64.800000000000011</c:v>
                </c:pt>
                <c:pt idx="50">
                  <c:v>64.5</c:v>
                </c:pt>
                <c:pt idx="51">
                  <c:v>62.400000000000006</c:v>
                </c:pt>
                <c:pt idx="52">
                  <c:v>62.199999999999989</c:v>
                </c:pt>
                <c:pt idx="53">
                  <c:v>61.800000000000011</c:v>
                </c:pt>
                <c:pt idx="54">
                  <c:v>57.800000000000011</c:v>
                </c:pt>
                <c:pt idx="55">
                  <c:v>57.5</c:v>
                </c:pt>
                <c:pt idx="56">
                  <c:v>56.099999999999994</c:v>
                </c:pt>
                <c:pt idx="57">
                  <c:v>53.199999999999989</c:v>
                </c:pt>
                <c:pt idx="58">
                  <c:v>53.099999999999994</c:v>
                </c:pt>
                <c:pt idx="59">
                  <c:v>52.699999999999989</c:v>
                </c:pt>
                <c:pt idx="60">
                  <c:v>49.799999999999983</c:v>
                </c:pt>
                <c:pt idx="61">
                  <c:v>48.699999999999989</c:v>
                </c:pt>
                <c:pt idx="62">
                  <c:v>48.199999999999989</c:v>
                </c:pt>
                <c:pt idx="63">
                  <c:v>45.400000000000006</c:v>
                </c:pt>
                <c:pt idx="64">
                  <c:v>44.5</c:v>
                </c:pt>
                <c:pt idx="65">
                  <c:v>43.199999999999989</c:v>
                </c:pt>
                <c:pt idx="66">
                  <c:v>42.900000000000006</c:v>
                </c:pt>
                <c:pt idx="67">
                  <c:v>39.099999999999994</c:v>
                </c:pt>
                <c:pt idx="68">
                  <c:v>38.299999999999983</c:v>
                </c:pt>
                <c:pt idx="69">
                  <c:v>37.900000000000006</c:v>
                </c:pt>
                <c:pt idx="70">
                  <c:v>34.199999999999989</c:v>
                </c:pt>
                <c:pt idx="71">
                  <c:v>33.199999999999989</c:v>
                </c:pt>
                <c:pt idx="72">
                  <c:v>33.199999999999989</c:v>
                </c:pt>
                <c:pt idx="73">
                  <c:v>32.5</c:v>
                </c:pt>
                <c:pt idx="74">
                  <c:v>31.799999999999997</c:v>
                </c:pt>
                <c:pt idx="75">
                  <c:v>30.699999999999989</c:v>
                </c:pt>
                <c:pt idx="76">
                  <c:v>28.699999999999989</c:v>
                </c:pt>
                <c:pt idx="77">
                  <c:v>28.699999999999989</c:v>
                </c:pt>
                <c:pt idx="78">
                  <c:v>28.699999999999989</c:v>
                </c:pt>
                <c:pt idx="79">
                  <c:v>27.800000000000011</c:v>
                </c:pt>
                <c:pt idx="80">
                  <c:v>27.199999999999989</c:v>
                </c:pt>
                <c:pt idx="81">
                  <c:v>25.399999999999991</c:v>
                </c:pt>
                <c:pt idx="82">
                  <c:v>24.699999999999989</c:v>
                </c:pt>
                <c:pt idx="83">
                  <c:v>24.599999999999994</c:v>
                </c:pt>
                <c:pt idx="84">
                  <c:v>24.5</c:v>
                </c:pt>
                <c:pt idx="85">
                  <c:v>23.5</c:v>
                </c:pt>
                <c:pt idx="86">
                  <c:v>22.699999999999989</c:v>
                </c:pt>
                <c:pt idx="87">
                  <c:v>21.599999999999994</c:v>
                </c:pt>
                <c:pt idx="88">
                  <c:v>21.5</c:v>
                </c:pt>
                <c:pt idx="89">
                  <c:v>19.799999999999997</c:v>
                </c:pt>
                <c:pt idx="90">
                  <c:v>18.599999999999994</c:v>
                </c:pt>
                <c:pt idx="91">
                  <c:v>18.5</c:v>
                </c:pt>
                <c:pt idx="92">
                  <c:v>17.900000000000006</c:v>
                </c:pt>
                <c:pt idx="93">
                  <c:v>16.699999999999989</c:v>
                </c:pt>
                <c:pt idx="94">
                  <c:v>16.099999999999994</c:v>
                </c:pt>
                <c:pt idx="95">
                  <c:v>13.699999999999989</c:v>
                </c:pt>
                <c:pt idx="96">
                  <c:v>12.799999999999997</c:v>
                </c:pt>
                <c:pt idx="97">
                  <c:v>12.099999999999994</c:v>
                </c:pt>
                <c:pt idx="98">
                  <c:v>11</c:v>
                </c:pt>
                <c:pt idx="99">
                  <c:v>9.3999999999999915</c:v>
                </c:pt>
                <c:pt idx="100">
                  <c:v>6.5</c:v>
                </c:pt>
                <c:pt idx="101">
                  <c:v>5.3999999999999915</c:v>
                </c:pt>
                <c:pt idx="102">
                  <c:v>5.0999999999999943</c:v>
                </c:pt>
                <c:pt idx="103">
                  <c:v>3.5999999999999943</c:v>
                </c:pt>
                <c:pt idx="104">
                  <c:v>2.9000000000000057</c:v>
                </c:pt>
                <c:pt idx="105">
                  <c:v>2</c:v>
                </c:pt>
                <c:pt idx="106">
                  <c:v>1.1999999999999886</c:v>
                </c:pt>
                <c:pt idx="107">
                  <c:v>0</c:v>
                </c:pt>
                <c:pt idx="108">
                  <c:v>-1.5</c:v>
                </c:pt>
                <c:pt idx="109">
                  <c:v>-3</c:v>
                </c:pt>
                <c:pt idx="110">
                  <c:v>-4.6000000000000085</c:v>
                </c:pt>
                <c:pt idx="111">
                  <c:v>-5.4000000000000057</c:v>
                </c:pt>
                <c:pt idx="112">
                  <c:v>-5.9000000000000057</c:v>
                </c:pt>
                <c:pt idx="113">
                  <c:v>-6.6000000000000085</c:v>
                </c:pt>
                <c:pt idx="114">
                  <c:v>-8.3000000000000114</c:v>
                </c:pt>
                <c:pt idx="115">
                  <c:v>-9.2000000000000028</c:v>
                </c:pt>
                <c:pt idx="116">
                  <c:v>-10.5</c:v>
                </c:pt>
                <c:pt idx="117">
                  <c:v>-11.300000000000011</c:v>
                </c:pt>
                <c:pt idx="118">
                  <c:v>-16.800000000000011</c:v>
                </c:pt>
                <c:pt idx="119">
                  <c:v>-17.200000000000003</c:v>
                </c:pt>
                <c:pt idx="120">
                  <c:v>-20.600000000000009</c:v>
                </c:pt>
                <c:pt idx="121">
                  <c:v>-21</c:v>
                </c:pt>
                <c:pt idx="122">
                  <c:v>-23.100000000000009</c:v>
                </c:pt>
                <c:pt idx="123">
                  <c:v>-23.800000000000011</c:v>
                </c:pt>
                <c:pt idx="124">
                  <c:v>-25.300000000000011</c:v>
                </c:pt>
                <c:pt idx="125">
                  <c:v>-25.600000000000009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8-485B-8BCA-8FEFEA7AF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806383"/>
        <c:axId val="1191398479"/>
      </c:scatterChart>
      <c:valAx>
        <c:axId val="128880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398479"/>
        <c:crosses val="autoZero"/>
        <c:crossBetween val="midCat"/>
      </c:valAx>
      <c:valAx>
        <c:axId val="119139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80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626267</xdr:colOff>
      <xdr:row>28</xdr:row>
      <xdr:rowOff>59531</xdr:rowOff>
    </xdr:from>
    <xdr:to>
      <xdr:col>37</xdr:col>
      <xdr:colOff>16667</xdr:colOff>
      <xdr:row>43</xdr:row>
      <xdr:rowOff>88106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4EE78D-F70B-FE11-B71C-CC82C14E2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421481</xdr:colOff>
      <xdr:row>44</xdr:row>
      <xdr:rowOff>130968</xdr:rowOff>
    </xdr:from>
    <xdr:to>
      <xdr:col>37</xdr:col>
      <xdr:colOff>459581</xdr:colOff>
      <xdr:row>59</xdr:row>
      <xdr:rowOff>159543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7E1800-E1F4-3803-7A60-980F96840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FE06-7DC2-466F-A6F6-A76BECA69C73}">
  <dimension ref="A1:AO726"/>
  <sheetViews>
    <sheetView tabSelected="1" zoomScaleNormal="100" workbookViewId="0">
      <selection activeCell="M15" sqref="M15"/>
    </sheetView>
  </sheetViews>
  <sheetFormatPr defaultRowHeight="14.25"/>
  <cols>
    <col min="1" max="1" width="19.1328125" customWidth="1"/>
    <col min="10" max="11" width="9.06640625" customWidth="1"/>
    <col min="13" max="13" width="9.06640625" style="4" customWidth="1"/>
    <col min="14" max="14" width="9.06640625" customWidth="1"/>
    <col min="15" max="18" width="0" hidden="1" customWidth="1"/>
    <col min="19" max="19" width="9.06640625" style="4"/>
    <col min="26" max="26" width="16.19921875" customWidth="1"/>
    <col min="27" max="27" width="9.06640625" customWidth="1"/>
    <col min="41" max="41" width="19.33203125" customWidth="1"/>
  </cols>
  <sheetData>
    <row r="1" spans="1:41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34</v>
      </c>
      <c r="G1" t="s">
        <v>794</v>
      </c>
      <c r="H1" t="s">
        <v>766</v>
      </c>
      <c r="I1" t="s">
        <v>767</v>
      </c>
      <c r="J1" t="s">
        <v>768</v>
      </c>
      <c r="K1" t="s">
        <v>774</v>
      </c>
      <c r="L1" t="s">
        <v>793</v>
      </c>
      <c r="M1" s="4" t="s">
        <v>772</v>
      </c>
      <c r="N1" t="s">
        <v>808</v>
      </c>
      <c r="O1" t="s">
        <v>795</v>
      </c>
      <c r="P1" t="s">
        <v>796</v>
      </c>
      <c r="Q1" t="s">
        <v>798</v>
      </c>
      <c r="R1" t="s">
        <v>800</v>
      </c>
      <c r="S1" s="4" t="s">
        <v>799</v>
      </c>
      <c r="T1" t="s">
        <v>801</v>
      </c>
      <c r="U1" t="s">
        <v>809</v>
      </c>
      <c r="V1" t="s">
        <v>810</v>
      </c>
      <c r="Y1" t="s">
        <v>769</v>
      </c>
      <c r="Z1" t="s">
        <v>773</v>
      </c>
      <c r="AA1" t="s">
        <v>770</v>
      </c>
      <c r="AB1" t="s">
        <v>771</v>
      </c>
      <c r="AE1" t="s">
        <v>37</v>
      </c>
      <c r="AG1" t="s">
        <v>795</v>
      </c>
      <c r="AH1" t="s">
        <v>797</v>
      </c>
      <c r="AI1" t="s">
        <v>798</v>
      </c>
      <c r="AK1" t="s">
        <v>782</v>
      </c>
    </row>
    <row r="2" spans="1:41">
      <c r="A2" t="s">
        <v>408</v>
      </c>
      <c r="B2" t="s">
        <v>84</v>
      </c>
      <c r="C2" t="s">
        <v>586</v>
      </c>
      <c r="D2" s="1">
        <v>107.9</v>
      </c>
      <c r="E2" s="1">
        <f t="shared" ref="E2:E65" si="0">IF(C2=X$2, AE$2, IF(C2 = X$3, AE$3, IF(C2 = X$4, AE$4, IF(C2 = X$5, AE$5, IF(C2=X$6, AE$6, IF(C2=X$7, AE$7, ""))))))</f>
        <v>73</v>
      </c>
      <c r="F2">
        <v>270.39999999999998</v>
      </c>
      <c r="G2" s="1">
        <v>1</v>
      </c>
      <c r="H2">
        <f t="shared" ref="H2:H65" si="1">F2-E2</f>
        <v>197.39999999999998</v>
      </c>
      <c r="I2">
        <f t="shared" ref="I2:I65" si="2">H2/17</f>
        <v>11.611764705882351</v>
      </c>
      <c r="J2">
        <f t="shared" ref="J2:J65" si="3">IF(1+I2/AK$2&lt;0, 0,(1+I2/AK$2))</f>
        <v>43.897920825458776</v>
      </c>
      <c r="K2">
        <f t="shared" ref="K2:K65" si="4">IF(C2=X$2, AB$2, IF(C2 = X$3, AB$3, IF(C2 = X$4, AB$4, IF(C2 = X$5, AB$5, IF(C2=X$6, AB$6, IF(C2=X$7, AB$7, ""))))))</f>
        <v>1.0011070456397422</v>
      </c>
      <c r="L2">
        <f t="shared" ref="L2:L65" si="5">M2/AN$21*AN$12</f>
        <v>41.633543204812746</v>
      </c>
      <c r="M2" s="4">
        <f t="shared" ref="M2:M65" si="6">J2*K2</f>
        <v>43.946517827302344</v>
      </c>
      <c r="N2">
        <f t="shared" ref="N2:N65" si="7">M2*1.25</f>
        <v>54.933147284127926</v>
      </c>
      <c r="O2" cm="1">
        <f t="array" ref="O2:Q2">_xlfn.XLOOKUP(C2, X$2:X$7, AG$2:AI$7)</f>
        <v>5.0900000000000001E-2</v>
      </c>
      <c r="P2">
        <v>-3.9</v>
      </c>
      <c r="Q2">
        <v>73.900000000000006</v>
      </c>
      <c r="R2">
        <f t="shared" ref="R2:R65" si="8">IF(Q2=0,1.167*O2*EXP(P2*G2),1.167*(O2*G2^2+P2*G2+Q2))</f>
        <v>81.749400300000019</v>
      </c>
      <c r="S2" s="4">
        <f t="shared" ref="S2:S65" si="9">IF(OR(H2&lt;0, R2&lt;1), 1, R2)</f>
        <v>81.749400300000019</v>
      </c>
      <c r="T2">
        <f t="shared" ref="T2:T65" si="10">M2-S2</f>
        <v>-37.802882472697675</v>
      </c>
      <c r="U2">
        <f t="shared" ref="U2:U65" si="11">N2-S2</f>
        <v>-26.816253015872093</v>
      </c>
      <c r="X2" t="s">
        <v>159</v>
      </c>
      <c r="Y2">
        <f>SUMIF(C$2:C1000, X2, J$2:J1000)</f>
        <v>637.52566660617185</v>
      </c>
      <c r="Z2">
        <v>32</v>
      </c>
      <c r="AA2">
        <v>367</v>
      </c>
      <c r="AB2">
        <f>AA2/Y2</f>
        <v>0.57566309754037293</v>
      </c>
      <c r="AD2" t="s">
        <v>159</v>
      </c>
      <c r="AE2">
        <v>190</v>
      </c>
      <c r="AG2">
        <v>56.4</v>
      </c>
      <c r="AH2">
        <v>-0.16300000000000001</v>
      </c>
      <c r="AK2" s="2">
        <f>AN15</f>
        <v>0.27068362481081082</v>
      </c>
    </row>
    <row r="3" spans="1:41">
      <c r="A3" t="s">
        <v>409</v>
      </c>
      <c r="B3" t="s">
        <v>52</v>
      </c>
      <c r="C3" t="s">
        <v>586</v>
      </c>
      <c r="D3" s="1">
        <v>107.9</v>
      </c>
      <c r="E3" s="1">
        <f t="shared" si="0"/>
        <v>73</v>
      </c>
      <c r="F3">
        <v>262.8</v>
      </c>
      <c r="G3" s="1">
        <v>2</v>
      </c>
      <c r="H3">
        <f t="shared" si="1"/>
        <v>189.8</v>
      </c>
      <c r="I3">
        <f t="shared" si="2"/>
        <v>11.164705882352942</v>
      </c>
      <c r="J3">
        <f t="shared" si="3"/>
        <v>42.246329142209106</v>
      </c>
      <c r="K3">
        <f t="shared" si="4"/>
        <v>1.0011070456397422</v>
      </c>
      <c r="L3">
        <f t="shared" si="5"/>
        <v>40.067145243171566</v>
      </c>
      <c r="M3" s="4">
        <f t="shared" si="6"/>
        <v>42.293097756681099</v>
      </c>
      <c r="N3">
        <f t="shared" si="7"/>
        <v>52.866372195851376</v>
      </c>
      <c r="O3" cm="1">
        <f t="array" ref="O3:Q3">_xlfn.XLOOKUP(C3, X$2:X$7, AG$2:AI$7)</f>
        <v>5.0900000000000001E-2</v>
      </c>
      <c r="P3">
        <v>-3.9</v>
      </c>
      <c r="Q3">
        <v>73.900000000000006</v>
      </c>
      <c r="R3">
        <f t="shared" si="8"/>
        <v>77.3763012</v>
      </c>
      <c r="S3" s="4">
        <f t="shared" si="9"/>
        <v>77.3763012</v>
      </c>
      <c r="T3">
        <f t="shared" si="10"/>
        <v>-35.083203443318901</v>
      </c>
      <c r="U3">
        <f t="shared" si="11"/>
        <v>-24.509929004148624</v>
      </c>
      <c r="X3" t="s">
        <v>586</v>
      </c>
      <c r="Y3">
        <f>SUMIF(C$2:C1001, X3, J$2:J1001)</f>
        <v>1066.8189826968114</v>
      </c>
      <c r="Z3">
        <v>56</v>
      </c>
      <c r="AA3">
        <v>1068</v>
      </c>
      <c r="AB3">
        <f t="shared" ref="AB3:AB5" si="12">AA3/Y3</f>
        <v>1.0011070456397422</v>
      </c>
      <c r="AC3">
        <f>SUM(AA3:AA5)/SUM(Y3:Y5)</f>
        <v>0.98261764118610206</v>
      </c>
      <c r="AD3" t="s">
        <v>586</v>
      </c>
      <c r="AE3">
        <v>73</v>
      </c>
      <c r="AG3">
        <v>5.0900000000000001E-2</v>
      </c>
      <c r="AH3">
        <v>-3.9</v>
      </c>
      <c r="AI3">
        <v>73.900000000000006</v>
      </c>
    </row>
    <row r="4" spans="1:41">
      <c r="A4" t="s">
        <v>410</v>
      </c>
      <c r="B4" t="s">
        <v>90</v>
      </c>
      <c r="C4" t="s">
        <v>586</v>
      </c>
      <c r="D4" s="1">
        <v>107.9</v>
      </c>
      <c r="E4" s="1">
        <f t="shared" si="0"/>
        <v>73</v>
      </c>
      <c r="F4">
        <v>235.5</v>
      </c>
      <c r="G4" s="1">
        <v>3</v>
      </c>
      <c r="H4">
        <f t="shared" si="1"/>
        <v>162.5</v>
      </c>
      <c r="I4">
        <f t="shared" si="2"/>
        <v>9.5588235294117645</v>
      </c>
      <c r="J4">
        <f t="shared" si="3"/>
        <v>36.313637964220121</v>
      </c>
      <c r="K4">
        <f t="shared" si="4"/>
        <v>1.0011070456397422</v>
      </c>
      <c r="L4">
        <f t="shared" si="5"/>
        <v>34.440478880960455</v>
      </c>
      <c r="M4" s="4">
        <f t="shared" si="6"/>
        <v>36.353838818791587</v>
      </c>
      <c r="N4">
        <f t="shared" si="7"/>
        <v>45.442298523489484</v>
      </c>
      <c r="O4" cm="1">
        <f t="array" ref="O4:Q4">_xlfn.XLOOKUP(C4, X$2:X$7, AG$2:AI$7)</f>
        <v>5.0900000000000001E-2</v>
      </c>
      <c r="P4">
        <v>-3.9</v>
      </c>
      <c r="Q4">
        <v>73.900000000000006</v>
      </c>
      <c r="R4">
        <f t="shared" si="8"/>
        <v>73.12200270000001</v>
      </c>
      <c r="S4" s="4">
        <f t="shared" si="9"/>
        <v>73.12200270000001</v>
      </c>
      <c r="T4">
        <f t="shared" si="10"/>
        <v>-36.768163881208423</v>
      </c>
      <c r="U4">
        <f t="shared" si="11"/>
        <v>-27.679704176510526</v>
      </c>
      <c r="X4" t="s">
        <v>407</v>
      </c>
      <c r="Y4">
        <f>SUMIF(C$2:C1002, X4, J$2:J1002)</f>
        <v>1025.1881827459349</v>
      </c>
      <c r="Z4">
        <v>77</v>
      </c>
      <c r="AA4">
        <v>966</v>
      </c>
      <c r="AB4">
        <f t="shared" si="12"/>
        <v>0.94226603101549489</v>
      </c>
      <c r="AD4" t="s">
        <v>407</v>
      </c>
      <c r="AE4">
        <v>93.4</v>
      </c>
      <c r="AG4">
        <v>57.8</v>
      </c>
      <c r="AH4">
        <v>-6.4299999999999996E-2</v>
      </c>
    </row>
    <row r="5" spans="1:41">
      <c r="A5" t="s">
        <v>411</v>
      </c>
      <c r="B5" t="s">
        <v>102</v>
      </c>
      <c r="C5" t="s">
        <v>586</v>
      </c>
      <c r="D5" s="1">
        <v>107.9</v>
      </c>
      <c r="E5" s="1">
        <f t="shared" si="0"/>
        <v>73</v>
      </c>
      <c r="F5">
        <v>234.5</v>
      </c>
      <c r="G5" s="1">
        <v>4</v>
      </c>
      <c r="H5">
        <f t="shared" si="1"/>
        <v>161.5</v>
      </c>
      <c r="I5">
        <f t="shared" si="2"/>
        <v>9.5</v>
      </c>
      <c r="J5">
        <f t="shared" si="3"/>
        <v>36.096323269055688</v>
      </c>
      <c r="K5">
        <f t="shared" si="4"/>
        <v>1.0011070456397422</v>
      </c>
      <c r="L5">
        <f t="shared" si="5"/>
        <v>34.23437388600766</v>
      </c>
      <c r="M5" s="4">
        <f t="shared" si="6"/>
        <v>36.136283546341417</v>
      </c>
      <c r="N5">
        <f t="shared" si="7"/>
        <v>45.170354432926771</v>
      </c>
      <c r="O5" cm="1">
        <f t="array" ref="O5:Q5">_xlfn.XLOOKUP(C5, X$2:X$7, AG$2:AI$7)</f>
        <v>5.0900000000000001E-2</v>
      </c>
      <c r="P5">
        <v>-3.9</v>
      </c>
      <c r="Q5">
        <v>73.900000000000006</v>
      </c>
      <c r="R5">
        <f t="shared" si="8"/>
        <v>68.986504800000006</v>
      </c>
      <c r="S5" s="4">
        <f t="shared" si="9"/>
        <v>68.986504800000006</v>
      </c>
      <c r="T5">
        <f t="shared" si="10"/>
        <v>-32.850221253658589</v>
      </c>
      <c r="U5">
        <f t="shared" si="11"/>
        <v>-23.816150367073234</v>
      </c>
      <c r="X5" t="s">
        <v>729</v>
      </c>
      <c r="Y5">
        <f>SUMIF(C$2:C1003, X5, J$2:J1003)</f>
        <v>199.83037706427237</v>
      </c>
      <c r="Z5">
        <v>24</v>
      </c>
      <c r="AA5">
        <v>218</v>
      </c>
      <c r="AB5">
        <f t="shared" si="12"/>
        <v>1.0909252297006058</v>
      </c>
      <c r="AD5" t="s">
        <v>729</v>
      </c>
      <c r="AE5">
        <v>82.5</v>
      </c>
      <c r="AG5">
        <v>55.4</v>
      </c>
      <c r="AH5">
        <v>-0.253</v>
      </c>
    </row>
    <row r="6" spans="1:41">
      <c r="A6" t="s">
        <v>412</v>
      </c>
      <c r="B6" t="s">
        <v>62</v>
      </c>
      <c r="C6" t="s">
        <v>586</v>
      </c>
      <c r="D6" s="1">
        <v>107.9</v>
      </c>
      <c r="E6" s="1">
        <f t="shared" si="0"/>
        <v>73</v>
      </c>
      <c r="F6">
        <v>234.2</v>
      </c>
      <c r="G6" s="1">
        <v>5</v>
      </c>
      <c r="H6">
        <f t="shared" si="1"/>
        <v>161.19999999999999</v>
      </c>
      <c r="I6">
        <f t="shared" si="2"/>
        <v>9.4823529411764707</v>
      </c>
      <c r="J6">
        <f t="shared" si="3"/>
        <v>36.031128860506364</v>
      </c>
      <c r="K6">
        <f t="shared" si="4"/>
        <v>1.0011070456397422</v>
      </c>
      <c r="L6">
        <f t="shared" si="5"/>
        <v>34.17254238752183</v>
      </c>
      <c r="M6" s="4">
        <f t="shared" si="6"/>
        <v>36.071016964606379</v>
      </c>
      <c r="N6">
        <f t="shared" si="7"/>
        <v>45.088771205757972</v>
      </c>
      <c r="O6" cm="1">
        <f t="array" ref="O6:Q6">_xlfn.XLOOKUP(C6, X$2:X$7, AG$2:AI$7)</f>
        <v>5.0900000000000001E-2</v>
      </c>
      <c r="P6">
        <v>-3.9</v>
      </c>
      <c r="Q6">
        <v>73.900000000000006</v>
      </c>
      <c r="R6">
        <f t="shared" si="8"/>
        <v>64.969807500000016</v>
      </c>
      <c r="S6" s="4">
        <f t="shared" si="9"/>
        <v>64.969807500000016</v>
      </c>
      <c r="T6">
        <f t="shared" si="10"/>
        <v>-28.898790535393637</v>
      </c>
      <c r="U6">
        <f t="shared" si="11"/>
        <v>-19.881036294242044</v>
      </c>
      <c r="X6" t="s">
        <v>764</v>
      </c>
      <c r="Y6">
        <f>SUMIF(C$2:C1004, X6, J$2:J1004)</f>
        <v>25.498766592147341</v>
      </c>
      <c r="Z6">
        <v>12</v>
      </c>
      <c r="AA6">
        <v>18</v>
      </c>
      <c r="AB6">
        <f t="shared" ref="AB6:AB7" si="13">AA6/Y6</f>
        <v>0.70591649737063444</v>
      </c>
      <c r="AD6" t="s">
        <v>764</v>
      </c>
      <c r="AE6">
        <v>118.7</v>
      </c>
      <c r="AG6">
        <v>3.22</v>
      </c>
      <c r="AH6">
        <v>-0.14799999999999999</v>
      </c>
    </row>
    <row r="7" spans="1:41">
      <c r="A7" t="s">
        <v>160</v>
      </c>
      <c r="B7" t="s">
        <v>60</v>
      </c>
      <c r="C7" t="s">
        <v>407</v>
      </c>
      <c r="D7" s="1">
        <v>116.9</v>
      </c>
      <c r="E7" s="1">
        <f t="shared" si="0"/>
        <v>93.4</v>
      </c>
      <c r="F7">
        <v>260.7</v>
      </c>
      <c r="G7" s="1">
        <v>1</v>
      </c>
      <c r="H7">
        <f t="shared" si="1"/>
        <v>167.29999999999998</v>
      </c>
      <c r="I7">
        <f t="shared" si="2"/>
        <v>9.8411764705882341</v>
      </c>
      <c r="J7">
        <f t="shared" si="3"/>
        <v>37.356748501009392</v>
      </c>
      <c r="K7">
        <f t="shared" si="4"/>
        <v>0.94226603101549489</v>
      </c>
      <c r="L7">
        <f t="shared" si="5"/>
        <v>33.347363818443313</v>
      </c>
      <c r="M7" s="4">
        <f t="shared" si="6"/>
        <v>35.19999514169016</v>
      </c>
      <c r="N7">
        <f t="shared" si="7"/>
        <v>43.999993927112698</v>
      </c>
      <c r="O7" cm="1">
        <f t="array" ref="O7:Q7">_xlfn.XLOOKUP(C7, X$2:X$7, AG$2:AI$7)</f>
        <v>57.8</v>
      </c>
      <c r="P7">
        <v>-6.4299999999999996E-2</v>
      </c>
      <c r="Q7">
        <v>0</v>
      </c>
      <c r="R7">
        <f t="shared" si="8"/>
        <v>63.251897615441813</v>
      </c>
      <c r="S7" s="4">
        <f t="shared" si="9"/>
        <v>63.251897615441813</v>
      </c>
      <c r="T7">
        <f t="shared" si="10"/>
        <v>-28.051902473751653</v>
      </c>
      <c r="U7">
        <f t="shared" si="11"/>
        <v>-19.251903688329115</v>
      </c>
      <c r="X7" t="s">
        <v>38</v>
      </c>
      <c r="Y7">
        <f>SUMIF(C$2:C1005, X7, J$2:J1005)</f>
        <v>127.74885468944854</v>
      </c>
      <c r="Z7">
        <v>15</v>
      </c>
      <c r="AA7">
        <v>102</v>
      </c>
      <c r="AB7">
        <f t="shared" si="13"/>
        <v>0.79844160049776736</v>
      </c>
      <c r="AD7" t="s">
        <v>38</v>
      </c>
      <c r="AE7">
        <v>90</v>
      </c>
      <c r="AG7">
        <v>6.77</v>
      </c>
      <c r="AH7">
        <v>-0.23300000000000001</v>
      </c>
    </row>
    <row r="8" spans="1:41">
      <c r="A8" t="s">
        <v>413</v>
      </c>
      <c r="B8" t="s">
        <v>56</v>
      </c>
      <c r="C8" t="s">
        <v>586</v>
      </c>
      <c r="D8" s="1">
        <v>107.9</v>
      </c>
      <c r="E8" s="1">
        <f t="shared" si="0"/>
        <v>73</v>
      </c>
      <c r="F8">
        <v>233.5</v>
      </c>
      <c r="G8" s="1">
        <v>6</v>
      </c>
      <c r="H8">
        <f t="shared" si="1"/>
        <v>160.5</v>
      </c>
      <c r="I8">
        <f t="shared" si="2"/>
        <v>9.4411764705882355</v>
      </c>
      <c r="J8">
        <f t="shared" si="3"/>
        <v>35.879008573891262</v>
      </c>
      <c r="K8">
        <f t="shared" si="4"/>
        <v>1.0011070456397422</v>
      </c>
      <c r="L8">
        <f t="shared" si="5"/>
        <v>34.028268891054879</v>
      </c>
      <c r="M8" s="4">
        <f t="shared" si="6"/>
        <v>35.918728273891261</v>
      </c>
      <c r="N8">
        <f t="shared" si="7"/>
        <v>44.898410342364073</v>
      </c>
      <c r="O8" cm="1">
        <f t="array" ref="O8:Q8">_xlfn.XLOOKUP(C8, X$2:X$7, AG$2:AI$7)</f>
        <v>5.0900000000000001E-2</v>
      </c>
      <c r="P8">
        <v>-3.9</v>
      </c>
      <c r="Q8">
        <v>73.900000000000006</v>
      </c>
      <c r="R8">
        <f t="shared" si="8"/>
        <v>61.071910800000012</v>
      </c>
      <c r="S8" s="4">
        <f t="shared" si="9"/>
        <v>61.071910800000012</v>
      </c>
      <c r="T8">
        <f t="shared" si="10"/>
        <v>-25.15318252610875</v>
      </c>
      <c r="U8">
        <f t="shared" si="11"/>
        <v>-16.173500457635939</v>
      </c>
      <c r="AD8" t="s">
        <v>776</v>
      </c>
      <c r="AE8">
        <v>100</v>
      </c>
    </row>
    <row r="9" spans="1:41">
      <c r="A9" t="s">
        <v>161</v>
      </c>
      <c r="B9" t="s">
        <v>48</v>
      </c>
      <c r="C9" t="s">
        <v>407</v>
      </c>
      <c r="D9" s="1">
        <v>116.9</v>
      </c>
      <c r="E9" s="1">
        <f t="shared" si="0"/>
        <v>93.4</v>
      </c>
      <c r="F9">
        <v>253.7</v>
      </c>
      <c r="G9" s="1">
        <v>2</v>
      </c>
      <c r="H9">
        <f t="shared" si="1"/>
        <v>160.29999999999998</v>
      </c>
      <c r="I9">
        <f t="shared" si="2"/>
        <v>9.4294117647058808</v>
      </c>
      <c r="J9">
        <f t="shared" si="3"/>
        <v>35.83554563485837</v>
      </c>
      <c r="K9">
        <f t="shared" si="4"/>
        <v>0.94226603101549489</v>
      </c>
      <c r="L9">
        <f t="shared" si="5"/>
        <v>31.989426967546709</v>
      </c>
      <c r="M9" s="4">
        <f t="shared" si="6"/>
        <v>33.766617354632636</v>
      </c>
      <c r="N9">
        <f t="shared" si="7"/>
        <v>42.208271693290797</v>
      </c>
      <c r="O9" cm="1">
        <f t="array" ref="O9:Q9">_xlfn.XLOOKUP(C9, X$2:X$7, AG$2:AI$7)</f>
        <v>57.8</v>
      </c>
      <c r="P9">
        <v>-6.4299999999999996E-2</v>
      </c>
      <c r="Q9">
        <v>0</v>
      </c>
      <c r="R9">
        <f t="shared" si="8"/>
        <v>59.312799683842179</v>
      </c>
      <c r="S9" s="4">
        <f t="shared" si="9"/>
        <v>59.312799683842179</v>
      </c>
      <c r="T9">
        <f t="shared" si="10"/>
        <v>-25.546182329209543</v>
      </c>
      <c r="U9">
        <f t="shared" si="11"/>
        <v>-17.104527990551382</v>
      </c>
    </row>
    <row r="10" spans="1:41">
      <c r="A10" t="s">
        <v>414</v>
      </c>
      <c r="B10" t="s">
        <v>54</v>
      </c>
      <c r="C10" t="s">
        <v>586</v>
      </c>
      <c r="D10" s="1">
        <v>107.9</v>
      </c>
      <c r="E10" s="1">
        <f t="shared" si="0"/>
        <v>73</v>
      </c>
      <c r="F10">
        <v>233.4</v>
      </c>
      <c r="G10" s="1">
        <v>7</v>
      </c>
      <c r="H10">
        <f t="shared" si="1"/>
        <v>160.4</v>
      </c>
      <c r="I10">
        <f t="shared" si="2"/>
        <v>9.4352941176470591</v>
      </c>
      <c r="J10">
        <f t="shared" si="3"/>
        <v>35.857277104374816</v>
      </c>
      <c r="K10">
        <f t="shared" si="4"/>
        <v>1.0011070456397422</v>
      </c>
      <c r="L10">
        <f t="shared" si="5"/>
        <v>34.007658391559602</v>
      </c>
      <c r="M10" s="4">
        <f t="shared" si="6"/>
        <v>35.896972746646242</v>
      </c>
      <c r="N10">
        <f t="shared" si="7"/>
        <v>44.871215933307802</v>
      </c>
      <c r="O10" cm="1">
        <f t="array" ref="O10:Q10">_xlfn.XLOOKUP(C10, X$2:X$7, AG$2:AI$7)</f>
        <v>5.0900000000000001E-2</v>
      </c>
      <c r="P10">
        <v>-3.9</v>
      </c>
      <c r="Q10">
        <v>73.900000000000006</v>
      </c>
      <c r="R10">
        <f t="shared" si="8"/>
        <v>57.292814700000008</v>
      </c>
      <c r="S10" s="4">
        <f t="shared" si="9"/>
        <v>57.292814700000008</v>
      </c>
      <c r="T10">
        <f t="shared" si="10"/>
        <v>-21.395841953353766</v>
      </c>
      <c r="U10">
        <f t="shared" si="11"/>
        <v>-12.421598766692206</v>
      </c>
      <c r="Z10" t="s">
        <v>780</v>
      </c>
      <c r="AA10" t="s">
        <v>775</v>
      </c>
      <c r="AB10" t="s">
        <v>772</v>
      </c>
      <c r="AC10" t="s">
        <v>807</v>
      </c>
      <c r="AD10" t="s">
        <v>767</v>
      </c>
      <c r="AE10" t="s">
        <v>34</v>
      </c>
      <c r="AM10" t="s">
        <v>791</v>
      </c>
      <c r="AN10">
        <v>2000</v>
      </c>
      <c r="AO10" t="s">
        <v>783</v>
      </c>
    </row>
    <row r="11" spans="1:41">
      <c r="A11" t="s">
        <v>39</v>
      </c>
      <c r="B11" t="s">
        <v>40</v>
      </c>
      <c r="C11" t="s">
        <v>159</v>
      </c>
      <c r="D11" s="1">
        <v>228</v>
      </c>
      <c r="E11" s="1">
        <f t="shared" si="0"/>
        <v>190</v>
      </c>
      <c r="F11">
        <v>384</v>
      </c>
      <c r="G11" s="1">
        <v>1</v>
      </c>
      <c r="H11">
        <f t="shared" si="1"/>
        <v>194</v>
      </c>
      <c r="I11">
        <f t="shared" si="2"/>
        <v>11.411764705882353</v>
      </c>
      <c r="J11">
        <f t="shared" si="3"/>
        <v>43.159050861899715</v>
      </c>
      <c r="K11">
        <f t="shared" si="4"/>
        <v>0.57566309754037293</v>
      </c>
      <c r="L11">
        <f t="shared" si="5"/>
        <v>23.537437489955074</v>
      </c>
      <c r="M11" s="4">
        <f t="shared" si="6"/>
        <v>24.845072906063692</v>
      </c>
      <c r="N11">
        <f t="shared" si="7"/>
        <v>31.056341132579615</v>
      </c>
      <c r="O11" cm="1">
        <f t="array" ref="O11:Q11">_xlfn.XLOOKUP(C11, X$2:X$7, AG$2:AI$7)</f>
        <v>56.4</v>
      </c>
      <c r="P11">
        <v>-0.16300000000000001</v>
      </c>
      <c r="Q11">
        <v>0</v>
      </c>
      <c r="R11">
        <f t="shared" si="8"/>
        <v>55.919072512022233</v>
      </c>
      <c r="S11" s="4">
        <f t="shared" si="9"/>
        <v>55.919072512022233</v>
      </c>
      <c r="T11">
        <f t="shared" si="10"/>
        <v>-31.073999605958541</v>
      </c>
      <c r="U11">
        <f t="shared" si="11"/>
        <v>-24.862731379442618</v>
      </c>
      <c r="Y11" t="s">
        <v>159</v>
      </c>
      <c r="Z11" t="s">
        <v>43</v>
      </c>
      <c r="AB11" cm="1">
        <f t="array" ref="AB11">_xlfn.XLOOKUP(Z11,A$2:A1000, M$2:M1000)</f>
        <v>23.906822526868201</v>
      </c>
      <c r="AC11" cm="1">
        <f t="array" ref="AC11">_xlfn.XLOOKUP(Z11,A$2:A1000, S$2:S1000)</f>
        <v>40.362676615547912</v>
      </c>
      <c r="AD11" cm="1">
        <f t="array" ref="AD11">_xlfn.XLOOKUP(Z11,A$2:A1000, I$2:I1000)</f>
        <v>10.970588235294118</v>
      </c>
      <c r="AE11" cm="1">
        <f t="array" ref="AE11">_xlfn.XLOOKUP(Z11,A$2:A1000, F$2:F1000)</f>
        <v>376.5</v>
      </c>
      <c r="AJ11" t="s">
        <v>784</v>
      </c>
      <c r="AK11">
        <v>150</v>
      </c>
      <c r="AN11">
        <f>AN10-AK11</f>
        <v>1850</v>
      </c>
      <c r="AO11" t="s">
        <v>785</v>
      </c>
    </row>
    <row r="12" spans="1:41">
      <c r="A12" t="s">
        <v>162</v>
      </c>
      <c r="B12" t="s">
        <v>68</v>
      </c>
      <c r="C12" t="s">
        <v>407</v>
      </c>
      <c r="D12" s="1">
        <v>116.9</v>
      </c>
      <c r="E12" s="1">
        <f t="shared" si="0"/>
        <v>93.4</v>
      </c>
      <c r="F12">
        <v>248.3</v>
      </c>
      <c r="G12" s="1">
        <v>3</v>
      </c>
      <c r="H12">
        <f t="shared" si="1"/>
        <v>154.9</v>
      </c>
      <c r="I12">
        <f t="shared" si="2"/>
        <v>9.1117647058823525</v>
      </c>
      <c r="J12">
        <f t="shared" si="3"/>
        <v>34.662046280970443</v>
      </c>
      <c r="K12">
        <f t="shared" si="4"/>
        <v>0.94226603101549489</v>
      </c>
      <c r="L12">
        <f t="shared" si="5"/>
        <v>30.941875682569339</v>
      </c>
      <c r="M12" s="4">
        <f t="shared" si="6"/>
        <v>32.660868776045412</v>
      </c>
      <c r="N12">
        <f t="shared" si="7"/>
        <v>40.826085970056766</v>
      </c>
      <c r="O12" cm="1">
        <f t="array" ref="O12:Q12">_xlfn.XLOOKUP(C12, X$2:X$7, AG$2:AI$7)</f>
        <v>57.8</v>
      </c>
      <c r="P12">
        <v>-6.4299999999999996E-2</v>
      </c>
      <c r="Q12">
        <v>0</v>
      </c>
      <c r="R12">
        <f t="shared" si="8"/>
        <v>55.619014432173024</v>
      </c>
      <c r="S12" s="4">
        <f t="shared" si="9"/>
        <v>55.619014432173024</v>
      </c>
      <c r="T12">
        <f t="shared" si="10"/>
        <v>-22.958145656127613</v>
      </c>
      <c r="U12">
        <f t="shared" si="11"/>
        <v>-14.792928462116258</v>
      </c>
      <c r="Y12" t="s">
        <v>586</v>
      </c>
      <c r="Z12" t="s">
        <v>434</v>
      </c>
      <c r="AB12" cm="1">
        <f t="array" ref="AB12">_xlfn.XLOOKUP(Z12,A$2:A1001, M$2:M1001)</f>
        <v>20.929170002074873</v>
      </c>
      <c r="AC12" cm="1">
        <f t="array" ref="AC12">_xlfn.XLOOKUP(Z12,A$2:A1001, S$2:S1001)</f>
        <v>6.6590187000000078</v>
      </c>
      <c r="AD12" cm="1">
        <f t="array" ref="AD12">_xlfn.XLOOKUP(Z12,A$2:A1001, I$2:I1001)</f>
        <v>5.3882352941176466</v>
      </c>
      <c r="AE12" cm="1">
        <f t="array" ref="AE12">_xlfn.XLOOKUP(Z12,A$2:A1001, F$2:F1001)</f>
        <v>164.6</v>
      </c>
      <c r="AJ12" t="s">
        <v>786</v>
      </c>
      <c r="AK12">
        <v>50</v>
      </c>
      <c r="AN12">
        <f>AN11-AK12</f>
        <v>1800</v>
      </c>
      <c r="AO12" t="s">
        <v>786</v>
      </c>
    </row>
    <row r="13" spans="1:41">
      <c r="A13" t="s">
        <v>415</v>
      </c>
      <c r="B13" t="s">
        <v>88</v>
      </c>
      <c r="C13" t="s">
        <v>586</v>
      </c>
      <c r="D13" s="1">
        <v>107.9</v>
      </c>
      <c r="E13" s="1">
        <f t="shared" si="0"/>
        <v>73</v>
      </c>
      <c r="F13">
        <v>229.5</v>
      </c>
      <c r="G13" s="1">
        <v>8</v>
      </c>
      <c r="H13">
        <f t="shared" si="1"/>
        <v>156.5</v>
      </c>
      <c r="I13">
        <f t="shared" si="2"/>
        <v>9.2058823529411757</v>
      </c>
      <c r="J13">
        <f t="shared" si="3"/>
        <v>35.009749793233532</v>
      </c>
      <c r="K13">
        <f t="shared" si="4"/>
        <v>1.0011070456397422</v>
      </c>
      <c r="L13">
        <f t="shared" si="5"/>
        <v>33.203848911243725</v>
      </c>
      <c r="M13" s="4">
        <f t="shared" si="6"/>
        <v>35.048507184090596</v>
      </c>
      <c r="N13">
        <f t="shared" si="7"/>
        <v>43.810633980113245</v>
      </c>
      <c r="O13" cm="1">
        <f t="array" ref="O13:Q13">_xlfn.XLOOKUP(C13, X$2:X$7, AG$2:AI$7)</f>
        <v>5.0900000000000001E-2</v>
      </c>
      <c r="P13">
        <v>-3.9</v>
      </c>
      <c r="Q13">
        <v>73.900000000000006</v>
      </c>
      <c r="R13">
        <f t="shared" si="8"/>
        <v>53.632519200000011</v>
      </c>
      <c r="S13" s="4">
        <f t="shared" si="9"/>
        <v>53.632519200000011</v>
      </c>
      <c r="T13">
        <f t="shared" si="10"/>
        <v>-18.584012015909416</v>
      </c>
      <c r="U13">
        <f t="shared" si="11"/>
        <v>-9.8218852198867665</v>
      </c>
      <c r="Y13" t="s">
        <v>407</v>
      </c>
      <c r="Z13" t="s">
        <v>185</v>
      </c>
      <c r="AB13" cm="1">
        <f t="array" ref="AB13">_xlfn.XLOOKUP(Z13,A$2:A1002, M$2:M1002)</f>
        <v>16.013209620648816</v>
      </c>
      <c r="AC13" cm="1">
        <f t="array" ref="AC13">_xlfn.XLOOKUP(Z13,A$2:A1002, S$2:S1002)</f>
        <v>12.674918620493511</v>
      </c>
      <c r="AD13" cm="1">
        <f t="array" ref="AD13">_xlfn.XLOOKUP(Z13,A$2:A1002, I$2:I1002)</f>
        <v>4.3294117647058821</v>
      </c>
      <c r="AE13" cm="1">
        <f t="array" ref="AE13">_xlfn.XLOOKUP(Z13,A$2:A1002, F$2:F1002)</f>
        <v>167</v>
      </c>
      <c r="AJ13" t="s">
        <v>790</v>
      </c>
      <c r="AK13">
        <v>69.92352941</v>
      </c>
      <c r="AN13">
        <f>AN12/15</f>
        <v>120</v>
      </c>
      <c r="AO13" t="s">
        <v>787</v>
      </c>
    </row>
    <row r="14" spans="1:41">
      <c r="A14" t="s">
        <v>163</v>
      </c>
      <c r="B14" t="s">
        <v>82</v>
      </c>
      <c r="C14" t="s">
        <v>407</v>
      </c>
      <c r="D14" s="1">
        <v>116.9</v>
      </c>
      <c r="E14" s="1">
        <f t="shared" si="0"/>
        <v>93.4</v>
      </c>
      <c r="F14">
        <v>247.5</v>
      </c>
      <c r="G14" s="1">
        <v>4</v>
      </c>
      <c r="H14">
        <f t="shared" si="1"/>
        <v>154.1</v>
      </c>
      <c r="I14">
        <f t="shared" si="2"/>
        <v>9.0647058823529409</v>
      </c>
      <c r="J14">
        <f t="shared" si="3"/>
        <v>34.488194524838896</v>
      </c>
      <c r="K14">
        <f t="shared" si="4"/>
        <v>0.94226603101549489</v>
      </c>
      <c r="L14">
        <f t="shared" si="5"/>
        <v>30.786682899609726</v>
      </c>
      <c r="M14" s="4">
        <f t="shared" si="6"/>
        <v>32.497054171810269</v>
      </c>
      <c r="N14">
        <f t="shared" si="7"/>
        <v>40.621317714762839</v>
      </c>
      <c r="O14" cm="1">
        <f t="array" ref="O14:Q14">_xlfn.XLOOKUP(C14, X$2:X$7, AG$2:AI$7)</f>
        <v>57.8</v>
      </c>
      <c r="P14">
        <v>-6.4299999999999996E-2</v>
      </c>
      <c r="Q14">
        <v>0</v>
      </c>
      <c r="R14">
        <f t="shared" si="8"/>
        <v>52.155264679724553</v>
      </c>
      <c r="S14" s="4">
        <f t="shared" si="9"/>
        <v>52.155264679724553</v>
      </c>
      <c r="T14">
        <f t="shared" si="10"/>
        <v>-19.658210507914283</v>
      </c>
      <c r="U14">
        <f t="shared" si="11"/>
        <v>-11.533946964961714</v>
      </c>
      <c r="Y14" t="s">
        <v>407</v>
      </c>
      <c r="Z14" t="s">
        <v>186</v>
      </c>
      <c r="AB14" cm="1">
        <f t="array" ref="AB14">_xlfn.XLOOKUP(Z14,A$2:A1003, M$2:M1003)</f>
        <v>15.808441365354888</v>
      </c>
      <c r="AC14" cm="1">
        <f t="array" ref="AC14">_xlfn.XLOOKUP(Z14,A$2:A1003, S$2:S1003)</f>
        <v>11.885570828515318</v>
      </c>
      <c r="AD14" cm="1">
        <f t="array" ref="AD14">_xlfn.XLOOKUP(Z14,A$2:A1003, I$2:I1003)</f>
        <v>4.2705882352941176</v>
      </c>
      <c r="AE14" cm="1">
        <f t="array" ref="AE14">_xlfn.XLOOKUP(Z14,A$2:A1003, F$2:F1003)</f>
        <v>166</v>
      </c>
      <c r="AJ14" t="s">
        <v>788</v>
      </c>
      <c r="AK14">
        <v>185</v>
      </c>
      <c r="AN14">
        <f>AN13-AK13</f>
        <v>50.07647059</v>
      </c>
      <c r="AO14" t="s">
        <v>789</v>
      </c>
    </row>
    <row r="15" spans="1:41">
      <c r="A15" t="s">
        <v>587</v>
      </c>
      <c r="B15" t="s">
        <v>40</v>
      </c>
      <c r="C15" t="s">
        <v>729</v>
      </c>
      <c r="D15" s="1">
        <v>99</v>
      </c>
      <c r="E15" s="1">
        <f t="shared" si="0"/>
        <v>82.5</v>
      </c>
      <c r="F15">
        <v>234.5</v>
      </c>
      <c r="G15" s="1">
        <v>1</v>
      </c>
      <c r="H15">
        <f t="shared" si="1"/>
        <v>152</v>
      </c>
      <c r="I15">
        <f t="shared" si="2"/>
        <v>8.9411764705882355</v>
      </c>
      <c r="J15">
        <f t="shared" si="3"/>
        <v>34.031833664993592</v>
      </c>
      <c r="K15">
        <f t="shared" si="4"/>
        <v>1.0909252297006058</v>
      </c>
      <c r="L15">
        <f t="shared" si="5"/>
        <v>35.172176170846683</v>
      </c>
      <c r="M15" s="4">
        <f t="shared" si="6"/>
        <v>37.12618595811594</v>
      </c>
      <c r="N15">
        <f t="shared" si="7"/>
        <v>46.407732447644925</v>
      </c>
      <c r="O15" cm="1">
        <f t="array" ref="O15:Q15">_xlfn.XLOOKUP(C15, X$2:X$7, AG$2:AI$7)</f>
        <v>55.4</v>
      </c>
      <c r="P15">
        <v>-0.253</v>
      </c>
      <c r="Q15">
        <v>0</v>
      </c>
      <c r="R15">
        <f t="shared" si="8"/>
        <v>50.200046202091926</v>
      </c>
      <c r="S15" s="4">
        <f t="shared" si="9"/>
        <v>50.200046202091926</v>
      </c>
      <c r="T15">
        <f t="shared" si="10"/>
        <v>-13.073860243975986</v>
      </c>
      <c r="U15">
        <f t="shared" si="11"/>
        <v>-3.7923137544470009</v>
      </c>
      <c r="Y15" t="s">
        <v>407</v>
      </c>
      <c r="Z15" t="s">
        <v>187</v>
      </c>
      <c r="AB15" cm="1">
        <f t="array" ref="AB15">_xlfn.XLOOKUP(Z15,A$2:A1004, M$2:M1004)</f>
        <v>15.030321995237948</v>
      </c>
      <c r="AC15" cm="1">
        <f t="array" ref="AC15">_xlfn.XLOOKUP(Z15,A$2:A1004, S$2:S1004)</f>
        <v>11.145380743608591</v>
      </c>
      <c r="AD15" cm="1">
        <f t="array" ref="AD15">_xlfn.XLOOKUP(Z15,A$2:A1004, I$2:I1004)</f>
        <v>4.0470588235294107</v>
      </c>
      <c r="AE15" cm="1">
        <f t="array" ref="AE15">_xlfn.XLOOKUP(Z15,A$2:A1004, F$2:F1004)</f>
        <v>162.19999999999999</v>
      </c>
      <c r="AN15">
        <f>AN14/AK14</f>
        <v>0.27068362481081082</v>
      </c>
    </row>
    <row r="16" spans="1:41">
      <c r="A16" t="s">
        <v>416</v>
      </c>
      <c r="B16" t="s">
        <v>74</v>
      </c>
      <c r="C16" t="s">
        <v>586</v>
      </c>
      <c r="D16" s="1">
        <v>107.9</v>
      </c>
      <c r="E16" s="1">
        <f t="shared" si="0"/>
        <v>73</v>
      </c>
      <c r="F16">
        <v>215.7</v>
      </c>
      <c r="G16" s="1">
        <v>9</v>
      </c>
      <c r="H16">
        <f t="shared" si="1"/>
        <v>142.69999999999999</v>
      </c>
      <c r="I16">
        <f t="shared" si="2"/>
        <v>8.3941176470588221</v>
      </c>
      <c r="J16">
        <f t="shared" si="3"/>
        <v>32.010806999964373</v>
      </c>
      <c r="K16">
        <f t="shared" si="4"/>
        <v>1.0011070456397422</v>
      </c>
      <c r="L16">
        <f t="shared" si="5"/>
        <v>30.359599980895243</v>
      </c>
      <c r="M16" s="4">
        <f t="shared" si="6"/>
        <v>32.046244424278314</v>
      </c>
      <c r="N16">
        <f t="shared" si="7"/>
        <v>40.057805530347892</v>
      </c>
      <c r="O16" cm="1">
        <f t="array" ref="O16:Q16">_xlfn.XLOOKUP(C16, X$2:X$7, AG$2:AI$7)</f>
        <v>5.0900000000000001E-2</v>
      </c>
      <c r="P16">
        <v>-3.9</v>
      </c>
      <c r="Q16">
        <v>73.900000000000006</v>
      </c>
      <c r="R16">
        <f t="shared" si="8"/>
        <v>50.091024300000008</v>
      </c>
      <c r="S16" s="4">
        <f t="shared" si="9"/>
        <v>50.091024300000008</v>
      </c>
      <c r="T16">
        <f t="shared" si="10"/>
        <v>-18.044779875721694</v>
      </c>
      <c r="U16">
        <f t="shared" si="11"/>
        <v>-10.033218769652116</v>
      </c>
      <c r="Y16" t="s">
        <v>729</v>
      </c>
      <c r="Z16" t="s">
        <v>598</v>
      </c>
      <c r="AB16" cm="1">
        <f t="array" ref="AB16">_xlfn.XLOOKUP(Z16,A$2:A1005, M$2:M1005)</f>
        <v>7.2074365901816293</v>
      </c>
      <c r="AC16" cm="1">
        <f t="array" ref="AC16">_xlfn.XLOOKUP(Z16,A$2:A1005, S$2:S1005)</f>
        <v>3.1050069293499591</v>
      </c>
      <c r="AD16" cm="1">
        <f t="array" ref="AD16">_xlfn.XLOOKUP(Z16,A$2:A1005, I$2:I1005)</f>
        <v>1.5176470588235293</v>
      </c>
      <c r="AE16" cm="1">
        <f t="array" ref="AE16">_xlfn.XLOOKUP(Z16,A$2:A1005, F$2:F1005)</f>
        <v>108.3</v>
      </c>
    </row>
    <row r="17" spans="1:41">
      <c r="A17" t="s">
        <v>164</v>
      </c>
      <c r="B17" t="s">
        <v>56</v>
      </c>
      <c r="C17" t="s">
        <v>407</v>
      </c>
      <c r="D17" s="1">
        <v>116.9</v>
      </c>
      <c r="E17" s="1">
        <f t="shared" si="0"/>
        <v>93.4</v>
      </c>
      <c r="F17">
        <v>231.5</v>
      </c>
      <c r="G17" s="1">
        <v>5</v>
      </c>
      <c r="H17">
        <f t="shared" si="1"/>
        <v>138.1</v>
      </c>
      <c r="I17">
        <f t="shared" si="2"/>
        <v>8.1235294117647054</v>
      </c>
      <c r="J17">
        <f t="shared" si="3"/>
        <v>31.011159402207991</v>
      </c>
      <c r="K17">
        <f t="shared" si="4"/>
        <v>0.94226603101549489</v>
      </c>
      <c r="L17">
        <f t="shared" si="5"/>
        <v>27.68282724041751</v>
      </c>
      <c r="M17" s="4">
        <f t="shared" si="6"/>
        <v>29.220762087107371</v>
      </c>
      <c r="N17">
        <f t="shared" si="7"/>
        <v>36.525952608884211</v>
      </c>
      <c r="O17" cm="1">
        <f t="array" ref="O17:Q17">_xlfn.XLOOKUP(C17, X$2:X$7, AG$2:AI$7)</f>
        <v>57.8</v>
      </c>
      <c r="P17">
        <v>-6.4299999999999996E-2</v>
      </c>
      <c r="Q17">
        <v>0</v>
      </c>
      <c r="R17">
        <f t="shared" si="8"/>
        <v>48.907224652988994</v>
      </c>
      <c r="S17" s="4">
        <f t="shared" si="9"/>
        <v>48.907224652988994</v>
      </c>
      <c r="T17">
        <f t="shared" si="10"/>
        <v>-19.686462565881623</v>
      </c>
      <c r="U17">
        <f t="shared" si="11"/>
        <v>-12.381272044104783</v>
      </c>
      <c r="Y17" t="s">
        <v>777</v>
      </c>
      <c r="Z17" t="s">
        <v>421</v>
      </c>
      <c r="AB17" cm="1">
        <f t="array" ref="AB17">_xlfn.XLOOKUP(Z17,A$2:A1006, M$2:M1006)</f>
        <v>27.17300632139462</v>
      </c>
      <c r="AC17" cm="1">
        <f t="array" ref="AC17">_xlfn.XLOOKUP(Z17,A$2:A1006, S$2:S1006)</f>
        <v>34.165558800000007</v>
      </c>
      <c r="AD17" cm="1">
        <f t="array" ref="AD17">_xlfn.XLOOKUP(Z17,A$2:A1006, I$2:I1006)</f>
        <v>7.0764705882352947</v>
      </c>
      <c r="AE17" cm="1">
        <f t="array" ref="AE17">_xlfn.XLOOKUP(Z17,A$2:A1006, F$2:F1006)</f>
        <v>193.3</v>
      </c>
    </row>
    <row r="18" spans="1:41">
      <c r="A18" t="s">
        <v>41</v>
      </c>
      <c r="B18" t="s">
        <v>42</v>
      </c>
      <c r="C18" t="s">
        <v>159</v>
      </c>
      <c r="D18" s="1">
        <v>228</v>
      </c>
      <c r="E18" s="1">
        <f t="shared" si="0"/>
        <v>190</v>
      </c>
      <c r="F18">
        <v>380.6</v>
      </c>
      <c r="G18" s="1">
        <v>2</v>
      </c>
      <c r="H18">
        <f t="shared" si="1"/>
        <v>190.60000000000002</v>
      </c>
      <c r="I18">
        <f t="shared" si="2"/>
        <v>11.211764705882354</v>
      </c>
      <c r="J18">
        <f t="shared" si="3"/>
        <v>42.420180898340654</v>
      </c>
      <c r="K18">
        <f t="shared" si="4"/>
        <v>0.57566309754037293</v>
      </c>
      <c r="L18">
        <f t="shared" si="5"/>
        <v>23.134483642890071</v>
      </c>
      <c r="M18" s="4">
        <f t="shared" si="6"/>
        <v>24.419732734161741</v>
      </c>
      <c r="N18">
        <f t="shared" si="7"/>
        <v>30.524665917702176</v>
      </c>
      <c r="O18" cm="1">
        <f t="array" ref="O18:Q18">_xlfn.XLOOKUP(C18, X$2:X$7, AG$2:AI$7)</f>
        <v>56.4</v>
      </c>
      <c r="P18">
        <v>-0.16300000000000001</v>
      </c>
      <c r="Q18">
        <v>0</v>
      </c>
      <c r="R18">
        <f t="shared" si="8"/>
        <v>47.508351270530618</v>
      </c>
      <c r="S18" s="4">
        <f t="shared" si="9"/>
        <v>47.508351270530618</v>
      </c>
      <c r="T18">
        <f t="shared" si="10"/>
        <v>-23.088618536368877</v>
      </c>
      <c r="U18">
        <f t="shared" si="11"/>
        <v>-16.983685352828441</v>
      </c>
      <c r="Y18" t="s">
        <v>778</v>
      </c>
      <c r="Z18" t="s">
        <v>41</v>
      </c>
      <c r="AB18" cm="1">
        <f t="array" ref="AB18">_xlfn.XLOOKUP(Z18,A$2:A1007, M$2:M1007)</f>
        <v>24.419732734161741</v>
      </c>
      <c r="AC18" cm="1">
        <f t="array" ref="AC18">_xlfn.XLOOKUP(Z18,A$2:A1007, S$2:S1007)</f>
        <v>47.508351270530618</v>
      </c>
      <c r="AD18" cm="1">
        <f t="array" ref="AD18">_xlfn.XLOOKUP(Z18,A$2:A1007, I$2:I1007)</f>
        <v>11.211764705882354</v>
      </c>
      <c r="AE18" cm="1">
        <f t="array" ref="AE18">_xlfn.XLOOKUP(Z18,A$2:A1007, F$2:F1007)</f>
        <v>380.6</v>
      </c>
    </row>
    <row r="19" spans="1:41">
      <c r="A19" t="s">
        <v>417</v>
      </c>
      <c r="B19" t="s">
        <v>48</v>
      </c>
      <c r="C19" t="s">
        <v>586</v>
      </c>
      <c r="D19" s="1">
        <v>107.9</v>
      </c>
      <c r="E19" s="1">
        <f t="shared" si="0"/>
        <v>73</v>
      </c>
      <c r="F19">
        <v>214.4</v>
      </c>
      <c r="G19" s="1">
        <v>10</v>
      </c>
      <c r="H19">
        <f t="shared" si="1"/>
        <v>141.4</v>
      </c>
      <c r="I19">
        <f t="shared" si="2"/>
        <v>8.3176470588235301</v>
      </c>
      <c r="J19">
        <f t="shared" si="3"/>
        <v>31.72829789625062</v>
      </c>
      <c r="K19">
        <f t="shared" si="4"/>
        <v>1.0011070456397422</v>
      </c>
      <c r="L19">
        <f t="shared" si="5"/>
        <v>30.091663487456628</v>
      </c>
      <c r="M19" s="4">
        <f t="shared" si="6"/>
        <v>31.763422570093105</v>
      </c>
      <c r="N19">
        <f t="shared" si="7"/>
        <v>39.70427821261638</v>
      </c>
      <c r="O19" cm="1">
        <f t="array" ref="O19:Q19">_xlfn.XLOOKUP(C19, X$2:X$7, AG$2:AI$7)</f>
        <v>5.0900000000000001E-2</v>
      </c>
      <c r="P19">
        <v>-3.9</v>
      </c>
      <c r="Q19">
        <v>73.900000000000006</v>
      </c>
      <c r="R19">
        <f t="shared" si="8"/>
        <v>46.668330000000012</v>
      </c>
      <c r="S19" s="4">
        <f t="shared" si="9"/>
        <v>46.668330000000012</v>
      </c>
      <c r="T19">
        <f t="shared" si="10"/>
        <v>-14.904907429906906</v>
      </c>
      <c r="U19">
        <f t="shared" si="11"/>
        <v>-6.9640517873836316</v>
      </c>
      <c r="Y19" t="s">
        <v>764</v>
      </c>
      <c r="Z19" t="s">
        <v>737</v>
      </c>
      <c r="AB19" cm="1">
        <f t="array" ref="AB19">_xlfn.XLOOKUP(Z19,A$2:A1008, M$2:M1008)</f>
        <v>1.1201127741522701</v>
      </c>
      <c r="AC19" cm="1">
        <f t="array" ref="AC19">_xlfn.XLOOKUP(Z19,A$2:A1008, S$2:S1008)</f>
        <v>1.1500641378468968</v>
      </c>
      <c r="AD19" cm="1">
        <f t="array" ref="AD19">_xlfn.XLOOKUP(Z19,A$2:A1008, I$2:I1008)</f>
        <v>0.15882352941176486</v>
      </c>
      <c r="AE19" cm="1">
        <f t="array" ref="AE19">_xlfn.XLOOKUP(Z19,A$2:A1008, F$2:F1008)</f>
        <v>121.4</v>
      </c>
      <c r="AM19" t="s">
        <v>792</v>
      </c>
      <c r="AN19">
        <v>2200</v>
      </c>
      <c r="AO19" t="s">
        <v>783</v>
      </c>
    </row>
    <row r="20" spans="1:41">
      <c r="A20" t="s">
        <v>165</v>
      </c>
      <c r="B20" t="s">
        <v>42</v>
      </c>
      <c r="C20" t="s">
        <v>407</v>
      </c>
      <c r="D20" s="1">
        <v>116.9</v>
      </c>
      <c r="E20" s="1">
        <f t="shared" si="0"/>
        <v>93.4</v>
      </c>
      <c r="F20">
        <v>225.8</v>
      </c>
      <c r="G20" s="1">
        <v>6</v>
      </c>
      <c r="H20">
        <f t="shared" si="1"/>
        <v>132.4</v>
      </c>
      <c r="I20">
        <f t="shared" si="2"/>
        <v>7.7882352941176478</v>
      </c>
      <c r="J20">
        <f t="shared" si="3"/>
        <v>29.772465639770736</v>
      </c>
      <c r="K20">
        <f t="shared" si="4"/>
        <v>0.94226603101549489</v>
      </c>
      <c r="L20">
        <f t="shared" si="5"/>
        <v>26.577078661830285</v>
      </c>
      <c r="M20" s="4">
        <f t="shared" si="6"/>
        <v>28.053583031931968</v>
      </c>
      <c r="N20">
        <f t="shared" si="7"/>
        <v>35.066978789914963</v>
      </c>
      <c r="O20" cm="1">
        <f t="array" ref="O20:Q20">_xlfn.XLOOKUP(C20, X$2:X$7, AG$2:AI$7)</f>
        <v>57.8</v>
      </c>
      <c r="P20">
        <v>-6.4299999999999996E-2</v>
      </c>
      <c r="Q20">
        <v>0</v>
      </c>
      <c r="R20">
        <f t="shared" si="8"/>
        <v>45.861460735483462</v>
      </c>
      <c r="S20" s="4">
        <f t="shared" si="9"/>
        <v>45.861460735483462</v>
      </c>
      <c r="T20">
        <f t="shared" si="10"/>
        <v>-17.807877703551494</v>
      </c>
      <c r="U20">
        <f t="shared" si="11"/>
        <v>-10.794481945568499</v>
      </c>
      <c r="Y20" t="s">
        <v>779</v>
      </c>
      <c r="Z20" t="s">
        <v>9</v>
      </c>
      <c r="AB20" cm="1">
        <f t="array" ref="AB20">_xlfn.XLOOKUP(Z20,A$2:A1009, M$2:M1009)</f>
        <v>3.8175694190244212</v>
      </c>
      <c r="AC20" cm="1">
        <f t="array" ref="AC20">_xlfn.XLOOKUP(Z20,A$2:A1009, S$2:S1009)</f>
        <v>1.2249958303911883</v>
      </c>
      <c r="AD20" cm="1">
        <f t="array" ref="AD20">_xlfn.XLOOKUP(Z20,A$2:A1009, I$2:I1009)</f>
        <v>1.0235294117647062</v>
      </c>
      <c r="AE20" cm="1">
        <f t="array" ref="AE20">_xlfn.XLOOKUP(Z20,A$2:A1009, F$2:F1009)</f>
        <v>107.4</v>
      </c>
      <c r="AJ20" t="s">
        <v>784</v>
      </c>
      <c r="AK20">
        <v>200</v>
      </c>
      <c r="AN20">
        <f>AN19-AK20</f>
        <v>2000</v>
      </c>
      <c r="AO20" t="s">
        <v>785</v>
      </c>
    </row>
    <row r="21" spans="1:41">
      <c r="A21" t="s">
        <v>418</v>
      </c>
      <c r="B21" t="s">
        <v>78</v>
      </c>
      <c r="C21" t="s">
        <v>586</v>
      </c>
      <c r="D21" s="1">
        <v>107.9</v>
      </c>
      <c r="E21" s="1">
        <f t="shared" si="0"/>
        <v>73</v>
      </c>
      <c r="F21">
        <v>207.7</v>
      </c>
      <c r="G21" s="1">
        <v>11</v>
      </c>
      <c r="H21">
        <f t="shared" si="1"/>
        <v>134.69999999999999</v>
      </c>
      <c r="I21">
        <f t="shared" si="2"/>
        <v>7.9235294117647053</v>
      </c>
      <c r="J21">
        <f t="shared" si="3"/>
        <v>30.272289438648922</v>
      </c>
      <c r="K21">
        <f t="shared" si="4"/>
        <v>1.0011070456397422</v>
      </c>
      <c r="L21">
        <f t="shared" si="5"/>
        <v>28.710760021272939</v>
      </c>
      <c r="M21" s="4">
        <f t="shared" si="6"/>
        <v>30.305802244676993</v>
      </c>
      <c r="N21">
        <f t="shared" si="7"/>
        <v>37.882252805846242</v>
      </c>
      <c r="O21" cm="1">
        <f t="array" ref="O21:Q21">_xlfn.XLOOKUP(C21, X$2:X$7, AG$2:AI$7)</f>
        <v>5.0900000000000001E-2</v>
      </c>
      <c r="P21">
        <v>-3.9</v>
      </c>
      <c r="Q21">
        <v>73.900000000000006</v>
      </c>
      <c r="R21">
        <f t="shared" si="8"/>
        <v>43.364436300000015</v>
      </c>
      <c r="S21" s="4">
        <f t="shared" si="9"/>
        <v>43.364436300000015</v>
      </c>
      <c r="T21">
        <f t="shared" si="10"/>
        <v>-13.058634055323022</v>
      </c>
      <c r="U21">
        <f t="shared" si="11"/>
        <v>-5.482183494153773</v>
      </c>
      <c r="AJ21" t="s">
        <v>786</v>
      </c>
      <c r="AK21">
        <v>100</v>
      </c>
      <c r="AN21">
        <f>AN20-AK21</f>
        <v>1900</v>
      </c>
      <c r="AO21" t="s">
        <v>786</v>
      </c>
    </row>
    <row r="22" spans="1:41">
      <c r="A22" t="s">
        <v>166</v>
      </c>
      <c r="B22" t="s">
        <v>88</v>
      </c>
      <c r="C22" t="s">
        <v>407</v>
      </c>
      <c r="D22" s="1">
        <v>116.9</v>
      </c>
      <c r="E22" s="1">
        <f t="shared" si="0"/>
        <v>93.4</v>
      </c>
      <c r="F22">
        <v>224.1</v>
      </c>
      <c r="G22" s="1">
        <v>7</v>
      </c>
      <c r="H22">
        <f t="shared" si="1"/>
        <v>130.69999999999999</v>
      </c>
      <c r="I22">
        <f t="shared" si="2"/>
        <v>7.6882352941176464</v>
      </c>
      <c r="J22">
        <f t="shared" si="3"/>
        <v>29.403030657991199</v>
      </c>
      <c r="K22">
        <f t="shared" si="4"/>
        <v>0.94226603101549489</v>
      </c>
      <c r="L22">
        <f t="shared" si="5"/>
        <v>26.247293998041112</v>
      </c>
      <c r="M22" s="4">
        <f t="shared" si="6"/>
        <v>27.705476997932283</v>
      </c>
      <c r="N22">
        <f t="shared" si="7"/>
        <v>34.631846247415353</v>
      </c>
      <c r="O22" cm="1">
        <f t="array" ref="O22:Q22">_xlfn.XLOOKUP(C22, X$2:X$7, AG$2:AI$7)</f>
        <v>57.8</v>
      </c>
      <c r="P22">
        <v>-6.4299999999999996E-2</v>
      </c>
      <c r="Q22">
        <v>0</v>
      </c>
      <c r="R22">
        <f t="shared" si="8"/>
        <v>43.005375907458038</v>
      </c>
      <c r="S22" s="4">
        <f t="shared" si="9"/>
        <v>43.005375907458038</v>
      </c>
      <c r="T22">
        <f t="shared" si="10"/>
        <v>-15.299898909525755</v>
      </c>
      <c r="U22">
        <f t="shared" si="11"/>
        <v>-8.373529660042685</v>
      </c>
      <c r="AD22" t="s">
        <v>803</v>
      </c>
      <c r="AE22" t="s">
        <v>804</v>
      </c>
      <c r="AJ22" t="s">
        <v>790</v>
      </c>
      <c r="AK22">
        <v>69.92352941</v>
      </c>
      <c r="AN22">
        <f>AN21/15</f>
        <v>126.66666666666667</v>
      </c>
      <c r="AO22" t="s">
        <v>787</v>
      </c>
    </row>
    <row r="23" spans="1:41">
      <c r="A23" t="s">
        <v>43</v>
      </c>
      <c r="B23" t="s">
        <v>44</v>
      </c>
      <c r="C23" t="s">
        <v>159</v>
      </c>
      <c r="D23" s="1">
        <v>228</v>
      </c>
      <c r="E23" s="1">
        <f t="shared" si="0"/>
        <v>190</v>
      </c>
      <c r="F23">
        <v>376.5</v>
      </c>
      <c r="G23" s="1">
        <v>3</v>
      </c>
      <c r="H23">
        <f t="shared" si="1"/>
        <v>186.5</v>
      </c>
      <c r="I23">
        <f t="shared" si="2"/>
        <v>10.970588235294118</v>
      </c>
      <c r="J23">
        <f t="shared" si="3"/>
        <v>41.529190648166477</v>
      </c>
      <c r="K23">
        <f t="shared" si="4"/>
        <v>0.57566309754037293</v>
      </c>
      <c r="L23">
        <f t="shared" si="5"/>
        <v>22.648568709664612</v>
      </c>
      <c r="M23" s="4">
        <f t="shared" si="6"/>
        <v>23.906822526868201</v>
      </c>
      <c r="N23">
        <f t="shared" si="7"/>
        <v>29.88352815858525</v>
      </c>
      <c r="O23" cm="1">
        <f t="array" ref="O23:Q23">_xlfn.XLOOKUP(C23, X$2:X$7, AG$2:AI$7)</f>
        <v>56.4</v>
      </c>
      <c r="P23">
        <v>-0.16300000000000001</v>
      </c>
      <c r="Q23">
        <v>0</v>
      </c>
      <c r="R23">
        <f t="shared" si="8"/>
        <v>40.362676615547912</v>
      </c>
      <c r="S23" s="4">
        <f t="shared" si="9"/>
        <v>40.362676615547912</v>
      </c>
      <c r="T23">
        <f t="shared" si="10"/>
        <v>-16.455854088679711</v>
      </c>
      <c r="U23">
        <f t="shared" si="11"/>
        <v>-10.479148456962662</v>
      </c>
      <c r="X23" t="s">
        <v>781</v>
      </c>
      <c r="Y23">
        <f>AK23-SUM(AA11:AA20)</f>
        <v>185</v>
      </c>
      <c r="AD23" t="s">
        <v>802</v>
      </c>
      <c r="AJ23" t="s">
        <v>788</v>
      </c>
      <c r="AK23">
        <v>185</v>
      </c>
      <c r="AN23">
        <f>AN22-AK22</f>
        <v>56.743137256666671</v>
      </c>
      <c r="AO23" t="s">
        <v>789</v>
      </c>
    </row>
    <row r="24" spans="1:41">
      <c r="A24" t="s">
        <v>167</v>
      </c>
      <c r="B24" t="s">
        <v>72</v>
      </c>
      <c r="C24" t="s">
        <v>407</v>
      </c>
      <c r="D24" s="1">
        <v>116.9</v>
      </c>
      <c r="E24" s="1">
        <f t="shared" si="0"/>
        <v>93.4</v>
      </c>
      <c r="F24">
        <v>209.2</v>
      </c>
      <c r="G24" s="1">
        <v>8</v>
      </c>
      <c r="H24">
        <f t="shared" si="1"/>
        <v>115.79999999999998</v>
      </c>
      <c r="I24">
        <f t="shared" si="2"/>
        <v>6.8117647058823518</v>
      </c>
      <c r="J24">
        <f t="shared" si="3"/>
        <v>26.165041700041165</v>
      </c>
      <c r="K24">
        <f t="shared" si="4"/>
        <v>0.94226603101549489</v>
      </c>
      <c r="L24">
        <f t="shared" si="5"/>
        <v>23.356828415418352</v>
      </c>
      <c r="M24" s="4">
        <f t="shared" si="6"/>
        <v>24.654429994052705</v>
      </c>
      <c r="N24">
        <f t="shared" si="7"/>
        <v>30.818037492565882</v>
      </c>
      <c r="O24" cm="1">
        <f t="array" ref="O24:Q24">_xlfn.XLOOKUP(C24, X$2:X$7, AG$2:AI$7)</f>
        <v>57.8</v>
      </c>
      <c r="P24">
        <v>-6.4299999999999996E-2</v>
      </c>
      <c r="Q24">
        <v>0</v>
      </c>
      <c r="R24">
        <f t="shared" si="8"/>
        <v>40.32715764569673</v>
      </c>
      <c r="S24" s="4">
        <f t="shared" si="9"/>
        <v>40.32715764569673</v>
      </c>
      <c r="T24">
        <f t="shared" si="10"/>
        <v>-15.672727651644024</v>
      </c>
      <c r="U24">
        <f t="shared" si="11"/>
        <v>-9.5091201531308478</v>
      </c>
      <c r="X24" t="s">
        <v>765</v>
      </c>
      <c r="Y24">
        <f>SUM(AB11:AB20)</f>
        <v>155.4258233490994</v>
      </c>
      <c r="AD24" t="s">
        <v>805</v>
      </c>
      <c r="AN24">
        <f>AN23/AK23</f>
        <v>0.30671966084684688</v>
      </c>
    </row>
    <row r="25" spans="1:41">
      <c r="A25" t="s">
        <v>419</v>
      </c>
      <c r="B25" t="s">
        <v>80</v>
      </c>
      <c r="C25" t="s">
        <v>586</v>
      </c>
      <c r="D25" s="1">
        <v>107.9</v>
      </c>
      <c r="E25" s="1">
        <f t="shared" si="0"/>
        <v>73</v>
      </c>
      <c r="F25">
        <v>197.2</v>
      </c>
      <c r="G25" s="1">
        <v>12</v>
      </c>
      <c r="H25">
        <f t="shared" si="1"/>
        <v>124.19999999999999</v>
      </c>
      <c r="I25">
        <f t="shared" si="2"/>
        <v>7.3058823529411754</v>
      </c>
      <c r="J25">
        <f t="shared" si="3"/>
        <v>27.99048513942239</v>
      </c>
      <c r="K25">
        <f t="shared" si="4"/>
        <v>1.0011070456397422</v>
      </c>
      <c r="L25">
        <f t="shared" si="5"/>
        <v>26.546657574268661</v>
      </c>
      <c r="M25" s="4">
        <f t="shared" si="6"/>
        <v>28.021471883950255</v>
      </c>
      <c r="N25">
        <f t="shared" si="7"/>
        <v>35.026839854937819</v>
      </c>
      <c r="O25" cm="1">
        <f t="array" ref="O25:Q25">_xlfn.XLOOKUP(C25, X$2:X$7, AG$2:AI$7)</f>
        <v>5.0900000000000001E-2</v>
      </c>
      <c r="P25">
        <v>-3.9</v>
      </c>
      <c r="Q25">
        <v>73.900000000000006</v>
      </c>
      <c r="R25">
        <f t="shared" si="8"/>
        <v>40.179343200000012</v>
      </c>
      <c r="S25" s="4">
        <f t="shared" si="9"/>
        <v>40.179343200000012</v>
      </c>
      <c r="T25">
        <f t="shared" si="10"/>
        <v>-12.157871316049757</v>
      </c>
      <c r="U25">
        <f t="shared" si="11"/>
        <v>-5.1525033450621933</v>
      </c>
      <c r="X25" t="s">
        <v>799</v>
      </c>
      <c r="Y25">
        <f>SUM(AC11:AC20)</f>
        <v>169.88154247628398</v>
      </c>
      <c r="AB25" s="3"/>
      <c r="AD25" t="s">
        <v>806</v>
      </c>
    </row>
    <row r="26" spans="1:41">
      <c r="A26" t="s">
        <v>588</v>
      </c>
      <c r="B26" t="s">
        <v>46</v>
      </c>
      <c r="C26" t="s">
        <v>729</v>
      </c>
      <c r="D26" s="1">
        <v>99</v>
      </c>
      <c r="E26" s="1">
        <f t="shared" si="0"/>
        <v>82.5</v>
      </c>
      <c r="F26">
        <v>165.5</v>
      </c>
      <c r="G26" s="1">
        <v>2</v>
      </c>
      <c r="H26">
        <f t="shared" si="1"/>
        <v>83</v>
      </c>
      <c r="I26">
        <f t="shared" si="2"/>
        <v>4.882352941176471</v>
      </c>
      <c r="J26">
        <f t="shared" si="3"/>
        <v>19.037119698647818</v>
      </c>
      <c r="K26">
        <f t="shared" si="4"/>
        <v>1.0909252297006058</v>
      </c>
      <c r="L26">
        <f t="shared" si="5"/>
        <v>19.675017644291334</v>
      </c>
      <c r="M26" s="4">
        <f t="shared" si="6"/>
        <v>20.768074180085296</v>
      </c>
      <c r="N26">
        <f t="shared" si="7"/>
        <v>25.96009272510662</v>
      </c>
      <c r="O26" cm="1">
        <f t="array" ref="O26:Q26">_xlfn.XLOOKUP(C26, X$2:X$7, AG$2:AI$7)</f>
        <v>55.4</v>
      </c>
      <c r="P26">
        <v>-0.253</v>
      </c>
      <c r="Q26">
        <v>0</v>
      </c>
      <c r="R26">
        <f t="shared" si="8"/>
        <v>38.978723541992096</v>
      </c>
      <c r="S26" s="4">
        <f t="shared" si="9"/>
        <v>38.978723541992096</v>
      </c>
      <c r="T26">
        <f t="shared" si="10"/>
        <v>-18.2106493619068</v>
      </c>
      <c r="U26">
        <f t="shared" si="11"/>
        <v>-13.018630816885477</v>
      </c>
      <c r="X26" t="s">
        <v>767</v>
      </c>
      <c r="Y26">
        <f>SUM(AD11:AD20)</f>
        <v>49.994117647058822</v>
      </c>
      <c r="Z26">
        <f>AN23</f>
        <v>56.743137256666671</v>
      </c>
      <c r="AB26" s="3"/>
    </row>
    <row r="27" spans="1:41">
      <c r="A27" t="s">
        <v>168</v>
      </c>
      <c r="B27" t="s">
        <v>44</v>
      </c>
      <c r="C27" t="s">
        <v>407</v>
      </c>
      <c r="D27" s="1">
        <v>116.9</v>
      </c>
      <c r="E27" s="1">
        <f t="shared" si="0"/>
        <v>93.4</v>
      </c>
      <c r="F27">
        <v>207.7</v>
      </c>
      <c r="G27" s="1">
        <v>9</v>
      </c>
      <c r="H27">
        <f t="shared" si="1"/>
        <v>114.29999999999998</v>
      </c>
      <c r="I27">
        <f t="shared" si="2"/>
        <v>6.7235294117647051</v>
      </c>
      <c r="J27">
        <f t="shared" si="3"/>
        <v>25.83906965729452</v>
      </c>
      <c r="K27">
        <f t="shared" si="4"/>
        <v>0.94226603101549489</v>
      </c>
      <c r="L27">
        <f t="shared" si="5"/>
        <v>23.065841947369083</v>
      </c>
      <c r="M27" s="4">
        <f t="shared" si="6"/>
        <v>24.34727761111181</v>
      </c>
      <c r="N27">
        <f t="shared" si="7"/>
        <v>30.434097013889762</v>
      </c>
      <c r="O27" cm="1">
        <f t="array" ref="O27:Q27">_xlfn.XLOOKUP(C27, X$2:X$7, AG$2:AI$7)</f>
        <v>57.8</v>
      </c>
      <c r="P27">
        <v>-6.4299999999999996E-2</v>
      </c>
      <c r="Q27">
        <v>0</v>
      </c>
      <c r="R27">
        <f t="shared" si="8"/>
        <v>37.815729067929041</v>
      </c>
      <c r="S27" s="4">
        <f t="shared" si="9"/>
        <v>37.815729067929041</v>
      </c>
      <c r="T27">
        <f t="shared" si="10"/>
        <v>-13.468451456817231</v>
      </c>
      <c r="U27">
        <f t="shared" si="11"/>
        <v>-7.3816320540392795</v>
      </c>
      <c r="X27" t="s">
        <v>34</v>
      </c>
      <c r="Y27">
        <f>SUM(AE11:AE20)/17*15</f>
        <v>1718.2058823529414</v>
      </c>
      <c r="Z27">
        <f>AN21</f>
        <v>1900</v>
      </c>
      <c r="AB27" s="3"/>
    </row>
    <row r="28" spans="1:41">
      <c r="A28" t="s">
        <v>420</v>
      </c>
      <c r="B28" t="s">
        <v>94</v>
      </c>
      <c r="C28" t="s">
        <v>586</v>
      </c>
      <c r="D28" s="1">
        <v>107.9</v>
      </c>
      <c r="E28" s="1">
        <f t="shared" si="0"/>
        <v>73</v>
      </c>
      <c r="F28">
        <v>194</v>
      </c>
      <c r="G28" s="1">
        <v>13</v>
      </c>
      <c r="H28">
        <f t="shared" si="1"/>
        <v>121</v>
      </c>
      <c r="I28">
        <f t="shared" si="2"/>
        <v>7.117647058823529</v>
      </c>
      <c r="J28">
        <f t="shared" si="3"/>
        <v>27.295078114896214</v>
      </c>
      <c r="K28">
        <f t="shared" si="4"/>
        <v>1.0011070456397422</v>
      </c>
      <c r="L28">
        <f t="shared" si="5"/>
        <v>25.887121590419742</v>
      </c>
      <c r="M28" s="4">
        <f t="shared" si="6"/>
        <v>27.325295012109731</v>
      </c>
      <c r="N28">
        <f t="shared" si="7"/>
        <v>34.156618765137161</v>
      </c>
      <c r="O28" cm="1">
        <f t="array" ref="O28:Q28">_xlfn.XLOOKUP(C28, X$2:X$7, AG$2:AI$7)</f>
        <v>5.0900000000000001E-2</v>
      </c>
      <c r="P28">
        <v>-3.9</v>
      </c>
      <c r="Q28">
        <v>73.900000000000006</v>
      </c>
      <c r="R28">
        <f t="shared" si="8"/>
        <v>37.113050700000009</v>
      </c>
      <c r="S28" s="4">
        <f t="shared" si="9"/>
        <v>37.113050700000009</v>
      </c>
      <c r="T28">
        <f t="shared" si="10"/>
        <v>-9.7877556878902787</v>
      </c>
      <c r="U28">
        <f t="shared" si="11"/>
        <v>-2.9564319348628487</v>
      </c>
      <c r="AB28" s="3"/>
    </row>
    <row r="29" spans="1:41">
      <c r="A29" t="s">
        <v>169</v>
      </c>
      <c r="B29" t="s">
        <v>68</v>
      </c>
      <c r="C29" t="s">
        <v>407</v>
      </c>
      <c r="D29" s="1">
        <v>116.9</v>
      </c>
      <c r="E29" s="1">
        <f t="shared" si="0"/>
        <v>93.4</v>
      </c>
      <c r="F29">
        <v>197.4</v>
      </c>
      <c r="G29" s="1">
        <v>10</v>
      </c>
      <c r="H29">
        <f t="shared" si="1"/>
        <v>104</v>
      </c>
      <c r="I29">
        <f t="shared" si="2"/>
        <v>6.117647058823529</v>
      </c>
      <c r="J29">
        <f t="shared" si="3"/>
        <v>23.600728297100876</v>
      </c>
      <c r="K29">
        <f t="shared" si="4"/>
        <v>0.94226603101549489</v>
      </c>
      <c r="L29">
        <f t="shared" si="5"/>
        <v>21.067734866764095</v>
      </c>
      <c r="M29" s="4">
        <f t="shared" si="6"/>
        <v>22.238164581584321</v>
      </c>
      <c r="N29">
        <f t="shared" si="7"/>
        <v>27.797705726980404</v>
      </c>
      <c r="O29" cm="1">
        <f t="array" ref="O29:Q29">_xlfn.XLOOKUP(C29, X$2:X$7, AG$2:AI$7)</f>
        <v>57.8</v>
      </c>
      <c r="P29">
        <v>-6.4299999999999996E-2</v>
      </c>
      <c r="Q29">
        <v>0</v>
      </c>
      <c r="R29">
        <f t="shared" si="8"/>
        <v>35.460703119789819</v>
      </c>
      <c r="S29" s="4">
        <f t="shared" si="9"/>
        <v>35.460703119789819</v>
      </c>
      <c r="T29">
        <f t="shared" si="10"/>
        <v>-13.222538538205498</v>
      </c>
      <c r="U29">
        <f t="shared" si="11"/>
        <v>-7.6629973928094159</v>
      </c>
      <c r="AB29" s="3"/>
    </row>
    <row r="30" spans="1:41">
      <c r="A30" t="s">
        <v>45</v>
      </c>
      <c r="B30" t="s">
        <v>46</v>
      </c>
      <c r="C30" t="s">
        <v>159</v>
      </c>
      <c r="D30" s="1">
        <v>228</v>
      </c>
      <c r="E30" s="1">
        <f t="shared" si="0"/>
        <v>190</v>
      </c>
      <c r="F30">
        <v>351.2</v>
      </c>
      <c r="G30" s="1">
        <v>4</v>
      </c>
      <c r="H30">
        <f t="shared" si="1"/>
        <v>161.19999999999999</v>
      </c>
      <c r="I30">
        <f t="shared" si="2"/>
        <v>9.4823529411764707</v>
      </c>
      <c r="J30">
        <f t="shared" si="3"/>
        <v>36.031128860506364</v>
      </c>
      <c r="K30">
        <f t="shared" si="4"/>
        <v>0.57566309754037293</v>
      </c>
      <c r="L30">
        <f t="shared" si="5"/>
        <v>19.650118024151453</v>
      </c>
      <c r="M30" s="4">
        <f t="shared" si="6"/>
        <v>20.741791247715422</v>
      </c>
      <c r="N30">
        <f t="shared" si="7"/>
        <v>25.927239059644279</v>
      </c>
      <c r="O30" cm="1">
        <f t="array" ref="O30:Q30">_xlfn.XLOOKUP(C30, X$2:X$7, AG$2:AI$7)</f>
        <v>56.4</v>
      </c>
      <c r="P30">
        <v>-0.16300000000000001</v>
      </c>
      <c r="Q30">
        <v>0</v>
      </c>
      <c r="R30">
        <f t="shared" si="8"/>
        <v>34.291774393397148</v>
      </c>
      <c r="S30" s="4">
        <f t="shared" si="9"/>
        <v>34.291774393397148</v>
      </c>
      <c r="T30">
        <f t="shared" si="10"/>
        <v>-13.549983145681725</v>
      </c>
      <c r="U30">
        <f t="shared" si="11"/>
        <v>-8.364535333752869</v>
      </c>
      <c r="Z30" t="s">
        <v>43</v>
      </c>
      <c r="AA30" t="s">
        <v>51</v>
      </c>
      <c r="AB30" s="3"/>
    </row>
    <row r="31" spans="1:41">
      <c r="A31" t="s">
        <v>421</v>
      </c>
      <c r="B31" t="s">
        <v>58</v>
      </c>
      <c r="C31" t="s">
        <v>586</v>
      </c>
      <c r="D31" s="1">
        <v>107.9</v>
      </c>
      <c r="E31" s="1">
        <f t="shared" si="0"/>
        <v>73</v>
      </c>
      <c r="F31">
        <v>193.3</v>
      </c>
      <c r="G31" s="1">
        <v>14</v>
      </c>
      <c r="H31">
        <f t="shared" si="1"/>
        <v>120.30000000000001</v>
      </c>
      <c r="I31">
        <f t="shared" si="2"/>
        <v>7.0764705882352947</v>
      </c>
      <c r="J31">
        <f t="shared" si="3"/>
        <v>27.142957828281116</v>
      </c>
      <c r="K31">
        <f t="shared" si="4"/>
        <v>1.0011070456397422</v>
      </c>
      <c r="L31">
        <f t="shared" si="5"/>
        <v>25.742848093952798</v>
      </c>
      <c r="M31" s="4">
        <f t="shared" si="6"/>
        <v>27.17300632139462</v>
      </c>
      <c r="N31">
        <f t="shared" si="7"/>
        <v>33.966257901743276</v>
      </c>
      <c r="O31" cm="1">
        <f t="array" ref="O31:Q31">_xlfn.XLOOKUP(C31, X$2:X$7, AG$2:AI$7)</f>
        <v>5.0900000000000001E-2</v>
      </c>
      <c r="P31">
        <v>-3.9</v>
      </c>
      <c r="Q31">
        <v>73.900000000000006</v>
      </c>
      <c r="R31">
        <f t="shared" si="8"/>
        <v>34.165558800000007</v>
      </c>
      <c r="S31" s="4">
        <f t="shared" si="9"/>
        <v>34.165558800000007</v>
      </c>
      <c r="T31">
        <f t="shared" si="10"/>
        <v>-6.9925524786053863</v>
      </c>
      <c r="U31">
        <f t="shared" si="11"/>
        <v>-0.19930089825673036</v>
      </c>
      <c r="Z31" t="s">
        <v>434</v>
      </c>
      <c r="AA31" t="s">
        <v>426</v>
      </c>
      <c r="AB31" s="3"/>
    </row>
    <row r="32" spans="1:41">
      <c r="A32" t="s">
        <v>170</v>
      </c>
      <c r="B32" t="s">
        <v>66</v>
      </c>
      <c r="C32" t="s">
        <v>407</v>
      </c>
      <c r="D32" s="1">
        <v>116.9</v>
      </c>
      <c r="E32" s="1">
        <f t="shared" si="0"/>
        <v>93.4</v>
      </c>
      <c r="F32">
        <v>196.9</v>
      </c>
      <c r="G32" s="1">
        <v>11</v>
      </c>
      <c r="H32">
        <f t="shared" si="1"/>
        <v>103.5</v>
      </c>
      <c r="I32">
        <f t="shared" si="2"/>
        <v>6.0882352941176467</v>
      </c>
      <c r="J32">
        <f t="shared" si="3"/>
        <v>23.492070949518663</v>
      </c>
      <c r="K32">
        <f t="shared" si="4"/>
        <v>0.94226603101549489</v>
      </c>
      <c r="L32">
        <f t="shared" si="5"/>
        <v>20.97073937741434</v>
      </c>
      <c r="M32" s="4">
        <f t="shared" si="6"/>
        <v>22.135780453937357</v>
      </c>
      <c r="N32">
        <f t="shared" si="7"/>
        <v>27.669725567421697</v>
      </c>
      <c r="O32" cm="1">
        <f t="array" ref="O32:Q32">_xlfn.XLOOKUP(C32, X$2:X$7, AG$2:AI$7)</f>
        <v>57.8</v>
      </c>
      <c r="P32">
        <v>-6.4299999999999996E-2</v>
      </c>
      <c r="Q32">
        <v>0</v>
      </c>
      <c r="R32">
        <f t="shared" si="8"/>
        <v>33.252339614848403</v>
      </c>
      <c r="S32" s="4">
        <f t="shared" si="9"/>
        <v>33.252339614848403</v>
      </c>
      <c r="T32">
        <f t="shared" si="10"/>
        <v>-11.116559160911045</v>
      </c>
      <c r="U32">
        <f t="shared" si="11"/>
        <v>-5.5826140474267056</v>
      </c>
      <c r="Z32" t="s">
        <v>185</v>
      </c>
      <c r="AA32" t="s">
        <v>161</v>
      </c>
      <c r="AB32" s="3"/>
    </row>
    <row r="33" spans="1:28">
      <c r="A33" t="s">
        <v>422</v>
      </c>
      <c r="B33" t="s">
        <v>60</v>
      </c>
      <c r="C33" t="s">
        <v>586</v>
      </c>
      <c r="D33" s="1">
        <v>107.9</v>
      </c>
      <c r="E33" s="1">
        <f t="shared" si="0"/>
        <v>73</v>
      </c>
      <c r="F33">
        <v>190.7</v>
      </c>
      <c r="G33" s="1">
        <v>15</v>
      </c>
      <c r="H33">
        <f t="shared" si="1"/>
        <v>117.69999999999999</v>
      </c>
      <c r="I33">
        <f t="shared" si="2"/>
        <v>6.9235294117647053</v>
      </c>
      <c r="J33">
        <f t="shared" si="3"/>
        <v>26.577939620853588</v>
      </c>
      <c r="K33">
        <f t="shared" si="4"/>
        <v>1.0011070456397422</v>
      </c>
      <c r="L33">
        <f t="shared" si="5"/>
        <v>25.206975107075543</v>
      </c>
      <c r="M33" s="4">
        <f t="shared" si="6"/>
        <v>26.607362613024186</v>
      </c>
      <c r="N33">
        <f t="shared" si="7"/>
        <v>33.259203266280231</v>
      </c>
      <c r="O33" cm="1">
        <f t="array" ref="O33:Q33">_xlfn.XLOOKUP(C33, X$2:X$7, AG$2:AI$7)</f>
        <v>5.0900000000000001E-2</v>
      </c>
      <c r="P33">
        <v>-3.9</v>
      </c>
      <c r="Q33">
        <v>73.900000000000006</v>
      </c>
      <c r="R33">
        <f t="shared" si="8"/>
        <v>31.336867500000007</v>
      </c>
      <c r="S33" s="4">
        <f t="shared" si="9"/>
        <v>31.336867500000007</v>
      </c>
      <c r="T33">
        <f t="shared" si="10"/>
        <v>-4.7295048869758212</v>
      </c>
      <c r="U33">
        <f t="shared" si="11"/>
        <v>1.9223357662802236</v>
      </c>
      <c r="V33">
        <v>1</v>
      </c>
      <c r="Z33" t="s">
        <v>186</v>
      </c>
      <c r="AA33" t="s">
        <v>177</v>
      </c>
      <c r="AB33" s="3"/>
    </row>
    <row r="34" spans="1:28">
      <c r="A34" t="s">
        <v>171</v>
      </c>
      <c r="B34" t="s">
        <v>76</v>
      </c>
      <c r="C34" t="s">
        <v>407</v>
      </c>
      <c r="D34" s="1">
        <v>116.9</v>
      </c>
      <c r="E34" s="1">
        <f t="shared" si="0"/>
        <v>93.4</v>
      </c>
      <c r="F34">
        <v>189.2</v>
      </c>
      <c r="G34" s="1">
        <v>12</v>
      </c>
      <c r="H34">
        <f t="shared" si="1"/>
        <v>95.799999999999983</v>
      </c>
      <c r="I34">
        <f t="shared" si="2"/>
        <v>5.6352941176470575</v>
      </c>
      <c r="J34">
        <f t="shared" si="3"/>
        <v>21.818747796752536</v>
      </c>
      <c r="K34">
        <f t="shared" si="4"/>
        <v>0.94226603101549489</v>
      </c>
      <c r="L34">
        <f t="shared" si="5"/>
        <v>19.477008841428081</v>
      </c>
      <c r="M34" s="4">
        <f t="shared" si="6"/>
        <v>20.559064888174085</v>
      </c>
      <c r="N34">
        <f t="shared" si="7"/>
        <v>25.698831110217604</v>
      </c>
      <c r="O34" cm="1">
        <f t="array" ref="O34:Q34">_xlfn.XLOOKUP(C34, X$2:X$7, AG$2:AI$7)</f>
        <v>57.8</v>
      </c>
      <c r="P34">
        <v>-6.4299999999999996E-2</v>
      </c>
      <c r="Q34">
        <v>0</v>
      </c>
      <c r="R34">
        <f t="shared" si="8"/>
        <v>31.181504950028476</v>
      </c>
      <c r="S34" s="4">
        <f t="shared" si="9"/>
        <v>31.181504950028476</v>
      </c>
      <c r="T34">
        <f t="shared" si="10"/>
        <v>-10.622440061854391</v>
      </c>
      <c r="U34">
        <f t="shared" si="11"/>
        <v>-5.4826738398108716</v>
      </c>
      <c r="Z34" t="s">
        <v>187</v>
      </c>
      <c r="AA34" t="s">
        <v>176</v>
      </c>
      <c r="AB34" s="3"/>
    </row>
    <row r="35" spans="1:28">
      <c r="A35" t="s">
        <v>589</v>
      </c>
      <c r="B35" t="s">
        <v>60</v>
      </c>
      <c r="C35" t="s">
        <v>729</v>
      </c>
      <c r="D35" s="1">
        <v>99</v>
      </c>
      <c r="E35" s="1">
        <f t="shared" si="0"/>
        <v>82.5</v>
      </c>
      <c r="F35">
        <v>157</v>
      </c>
      <c r="G35" s="1">
        <v>3</v>
      </c>
      <c r="H35">
        <f t="shared" si="1"/>
        <v>74.5</v>
      </c>
      <c r="I35">
        <f t="shared" si="2"/>
        <v>4.382352941176471</v>
      </c>
      <c r="J35">
        <f t="shared" si="3"/>
        <v>17.18994478975015</v>
      </c>
      <c r="K35">
        <f t="shared" si="4"/>
        <v>1.0909252297006058</v>
      </c>
      <c r="L35">
        <f t="shared" si="5"/>
        <v>17.765947391020024</v>
      </c>
      <c r="M35" s="4">
        <f t="shared" si="6"/>
        <v>18.752944468298914</v>
      </c>
      <c r="N35">
        <f t="shared" si="7"/>
        <v>23.441180585373644</v>
      </c>
      <c r="O35" cm="1">
        <f t="array" ref="O35:Q35">_xlfn.XLOOKUP(C35, X$2:X$7, AG$2:AI$7)</f>
        <v>55.4</v>
      </c>
      <c r="P35">
        <v>-0.253</v>
      </c>
      <c r="Q35">
        <v>0</v>
      </c>
      <c r="R35">
        <f t="shared" si="8"/>
        <v>30.265726904843664</v>
      </c>
      <c r="S35" s="4">
        <f t="shared" si="9"/>
        <v>30.265726904843664</v>
      </c>
      <c r="T35">
        <f t="shared" si="10"/>
        <v>-11.51278243654475</v>
      </c>
      <c r="U35">
        <f t="shared" si="11"/>
        <v>-6.82454631947002</v>
      </c>
      <c r="Z35" t="s">
        <v>598</v>
      </c>
      <c r="AA35" t="s">
        <v>598</v>
      </c>
      <c r="AB35" s="3"/>
    </row>
    <row r="36" spans="1:28">
      <c r="A36" t="s">
        <v>172</v>
      </c>
      <c r="B36" t="s">
        <v>48</v>
      </c>
      <c r="C36" t="s">
        <v>407</v>
      </c>
      <c r="D36" s="1">
        <v>116.9</v>
      </c>
      <c r="E36" s="1">
        <f t="shared" si="0"/>
        <v>93.4</v>
      </c>
      <c r="F36">
        <v>188.1</v>
      </c>
      <c r="G36" s="1">
        <v>13</v>
      </c>
      <c r="H36">
        <f t="shared" si="1"/>
        <v>94.699999999999989</v>
      </c>
      <c r="I36">
        <f t="shared" si="2"/>
        <v>5.5705882352941174</v>
      </c>
      <c r="J36">
        <f t="shared" si="3"/>
        <v>21.579701632071664</v>
      </c>
      <c r="K36">
        <f t="shared" si="4"/>
        <v>0.94226603101549489</v>
      </c>
      <c r="L36">
        <f t="shared" si="5"/>
        <v>19.26361876485862</v>
      </c>
      <c r="M36" s="4">
        <f t="shared" si="6"/>
        <v>20.333819807350764</v>
      </c>
      <c r="N36">
        <f t="shared" si="7"/>
        <v>25.417274759188455</v>
      </c>
      <c r="O36" cm="1">
        <f t="array" ref="O36:Q36">_xlfn.XLOOKUP(C36, X$2:X$7, AG$2:AI$7)</f>
        <v>57.8</v>
      </c>
      <c r="P36">
        <v>-6.4299999999999996E-2</v>
      </c>
      <c r="Q36">
        <v>0</v>
      </c>
      <c r="R36">
        <f t="shared" si="8"/>
        <v>29.239634329804822</v>
      </c>
      <c r="S36" s="4">
        <f t="shared" si="9"/>
        <v>29.239634329804822</v>
      </c>
      <c r="T36">
        <f t="shared" si="10"/>
        <v>-8.9058145224540581</v>
      </c>
      <c r="U36">
        <f t="shared" si="11"/>
        <v>-3.8223595706163671</v>
      </c>
      <c r="Z36" t="s">
        <v>421</v>
      </c>
      <c r="AA36" t="s">
        <v>173</v>
      </c>
      <c r="AB36" s="3"/>
    </row>
    <row r="37" spans="1:28">
      <c r="A37" t="s">
        <v>47</v>
      </c>
      <c r="B37" t="s">
        <v>48</v>
      </c>
      <c r="C37" t="s">
        <v>159</v>
      </c>
      <c r="D37" s="1">
        <v>228</v>
      </c>
      <c r="E37" s="1">
        <f t="shared" si="0"/>
        <v>190</v>
      </c>
      <c r="F37">
        <v>346.1</v>
      </c>
      <c r="G37" s="1">
        <v>5</v>
      </c>
      <c r="H37">
        <f t="shared" si="1"/>
        <v>156.10000000000002</v>
      </c>
      <c r="I37">
        <f t="shared" si="2"/>
        <v>9.1823529411764717</v>
      </c>
      <c r="J37">
        <f t="shared" si="3"/>
        <v>34.922823915167761</v>
      </c>
      <c r="K37">
        <f t="shared" si="4"/>
        <v>0.57566309754037293</v>
      </c>
      <c r="L37">
        <f t="shared" si="5"/>
        <v>19.045687253553933</v>
      </c>
      <c r="M37" s="4">
        <f t="shared" si="6"/>
        <v>20.103780989862486</v>
      </c>
      <c r="N37">
        <f t="shared" si="7"/>
        <v>25.129726237328107</v>
      </c>
      <c r="O37" cm="1">
        <f t="array" ref="O37:Q37">_xlfn.XLOOKUP(C37, X$2:X$7, AG$2:AI$7)</f>
        <v>56.4</v>
      </c>
      <c r="P37">
        <v>-0.16300000000000001</v>
      </c>
      <c r="Q37">
        <v>0</v>
      </c>
      <c r="R37">
        <f t="shared" si="8"/>
        <v>29.133989359731292</v>
      </c>
      <c r="S37" s="4">
        <f t="shared" si="9"/>
        <v>29.133989359731292</v>
      </c>
      <c r="T37">
        <f t="shared" si="10"/>
        <v>-9.0302083698688058</v>
      </c>
      <c r="U37">
        <f t="shared" si="11"/>
        <v>-4.0042631224031844</v>
      </c>
      <c r="Z37" t="s">
        <v>41</v>
      </c>
      <c r="AA37" t="s">
        <v>49</v>
      </c>
      <c r="AB37" s="3"/>
    </row>
    <row r="38" spans="1:28">
      <c r="A38" t="s">
        <v>423</v>
      </c>
      <c r="B38" t="s">
        <v>98</v>
      </c>
      <c r="C38" t="s">
        <v>586</v>
      </c>
      <c r="D38" s="1">
        <v>107.9</v>
      </c>
      <c r="E38" s="1">
        <f t="shared" si="0"/>
        <v>73</v>
      </c>
      <c r="F38">
        <v>188.2</v>
      </c>
      <c r="G38" s="1">
        <v>16</v>
      </c>
      <c r="H38">
        <f t="shared" si="1"/>
        <v>115.19999999999999</v>
      </c>
      <c r="I38">
        <f t="shared" si="2"/>
        <v>6.7764705882352931</v>
      </c>
      <c r="J38">
        <f t="shared" si="3"/>
        <v>26.034652882942506</v>
      </c>
      <c r="K38">
        <f t="shared" si="4"/>
        <v>1.0011070456397422</v>
      </c>
      <c r="L38">
        <f t="shared" si="5"/>
        <v>24.691712619693572</v>
      </c>
      <c r="M38" s="4">
        <f t="shared" si="6"/>
        <v>26.063474431898769</v>
      </c>
      <c r="N38">
        <f t="shared" si="7"/>
        <v>32.579343039873464</v>
      </c>
      <c r="O38" cm="1">
        <f t="array" ref="O38:Q38">_xlfn.XLOOKUP(C38, X$2:X$7, AG$2:AI$7)</f>
        <v>5.0900000000000001E-2</v>
      </c>
      <c r="P38">
        <v>-3.9</v>
      </c>
      <c r="Q38">
        <v>73.900000000000006</v>
      </c>
      <c r="R38">
        <f t="shared" si="8"/>
        <v>28.626976800000008</v>
      </c>
      <c r="S38" s="4">
        <f t="shared" si="9"/>
        <v>28.626976800000008</v>
      </c>
      <c r="T38">
        <f t="shared" si="10"/>
        <v>-2.5635023681012399</v>
      </c>
      <c r="U38">
        <f t="shared" si="11"/>
        <v>3.9523662398734558</v>
      </c>
      <c r="X38">
        <v>194</v>
      </c>
      <c r="Y38">
        <v>194</v>
      </c>
      <c r="Z38" t="s">
        <v>737</v>
      </c>
      <c r="AA38" t="s">
        <v>737</v>
      </c>
      <c r="AB38" s="3"/>
    </row>
    <row r="39" spans="1:28">
      <c r="A39" t="s">
        <v>173</v>
      </c>
      <c r="B39" t="s">
        <v>64</v>
      </c>
      <c r="C39" t="s">
        <v>407</v>
      </c>
      <c r="D39" s="1">
        <v>116.9</v>
      </c>
      <c r="E39" s="1">
        <f t="shared" si="0"/>
        <v>93.4</v>
      </c>
      <c r="F39">
        <v>185.4</v>
      </c>
      <c r="G39" s="1">
        <v>14</v>
      </c>
      <c r="H39">
        <f t="shared" si="1"/>
        <v>92</v>
      </c>
      <c r="I39">
        <f t="shared" si="2"/>
        <v>5.4117647058823533</v>
      </c>
      <c r="J39">
        <f t="shared" si="3"/>
        <v>20.992951955127701</v>
      </c>
      <c r="K39">
        <f t="shared" si="4"/>
        <v>0.94226603101549489</v>
      </c>
      <c r="L39">
        <f t="shared" si="5"/>
        <v>18.739843122369933</v>
      </c>
      <c r="M39" s="4">
        <f t="shared" si="6"/>
        <v>19.780945518057152</v>
      </c>
      <c r="N39">
        <f t="shared" si="7"/>
        <v>24.72618189757144</v>
      </c>
      <c r="O39" cm="1">
        <f t="array" ref="O39:Q39">_xlfn.XLOOKUP(C39, X$2:X$7, AG$2:AI$7)</f>
        <v>57.8</v>
      </c>
      <c r="P39">
        <v>-6.4299999999999996E-2</v>
      </c>
      <c r="Q39">
        <v>0</v>
      </c>
      <c r="R39">
        <f t="shared" si="8"/>
        <v>27.418696342939665</v>
      </c>
      <c r="S39" s="4">
        <f t="shared" si="9"/>
        <v>27.418696342939665</v>
      </c>
      <c r="T39">
        <f t="shared" si="10"/>
        <v>-7.637750824882513</v>
      </c>
      <c r="U39">
        <f t="shared" si="11"/>
        <v>-2.692514445368225</v>
      </c>
      <c r="X39">
        <v>190.60000000000002</v>
      </c>
      <c r="Y39">
        <v>190.60000000000002</v>
      </c>
      <c r="Z39" t="s">
        <v>9</v>
      </c>
      <c r="AA39" t="s">
        <v>9</v>
      </c>
      <c r="AB39" s="3"/>
    </row>
    <row r="40" spans="1:28">
      <c r="A40" t="s">
        <v>424</v>
      </c>
      <c r="B40" t="s">
        <v>64</v>
      </c>
      <c r="C40" t="s">
        <v>586</v>
      </c>
      <c r="D40" s="1">
        <v>107.9</v>
      </c>
      <c r="E40" s="1">
        <f t="shared" si="0"/>
        <v>73</v>
      </c>
      <c r="F40">
        <v>186.6</v>
      </c>
      <c r="G40" s="1">
        <v>17</v>
      </c>
      <c r="H40">
        <f t="shared" si="1"/>
        <v>113.6</v>
      </c>
      <c r="I40">
        <f t="shared" si="2"/>
        <v>6.6823529411764699</v>
      </c>
      <c r="J40">
        <f t="shared" si="3"/>
        <v>25.686949370679418</v>
      </c>
      <c r="K40">
        <f t="shared" si="4"/>
        <v>1.0011070456397422</v>
      </c>
      <c r="L40">
        <f t="shared" si="5"/>
        <v>24.361944627769113</v>
      </c>
      <c r="M40" s="4">
        <f t="shared" si="6"/>
        <v>25.715385995978508</v>
      </c>
      <c r="N40">
        <f t="shared" si="7"/>
        <v>32.144232494973139</v>
      </c>
      <c r="O40" cm="1">
        <f t="array" ref="O40:Q40">_xlfn.XLOOKUP(C40, X$2:X$7, AG$2:AI$7)</f>
        <v>5.0900000000000001E-2</v>
      </c>
      <c r="P40">
        <v>-3.9</v>
      </c>
      <c r="Q40">
        <v>73.900000000000006</v>
      </c>
      <c r="R40">
        <f t="shared" si="8"/>
        <v>26.035886700000006</v>
      </c>
      <c r="S40" s="4">
        <f t="shared" si="9"/>
        <v>26.035886700000006</v>
      </c>
      <c r="T40">
        <f t="shared" si="10"/>
        <v>-0.320500704021498</v>
      </c>
      <c r="U40">
        <f t="shared" si="11"/>
        <v>6.1083457949731326</v>
      </c>
      <c r="X40">
        <v>186.5</v>
      </c>
      <c r="Y40">
        <v>186.5</v>
      </c>
      <c r="AB40" s="3"/>
    </row>
    <row r="41" spans="1:28">
      <c r="A41" t="s">
        <v>174</v>
      </c>
      <c r="B41" t="s">
        <v>84</v>
      </c>
      <c r="C41" t="s">
        <v>407</v>
      </c>
      <c r="D41" s="1">
        <v>116.9</v>
      </c>
      <c r="E41" s="1">
        <f t="shared" si="0"/>
        <v>93.4</v>
      </c>
      <c r="F41">
        <v>184.2</v>
      </c>
      <c r="G41" s="1">
        <v>15</v>
      </c>
      <c r="H41">
        <f t="shared" si="1"/>
        <v>90.799999999999983</v>
      </c>
      <c r="I41">
        <f t="shared" si="2"/>
        <v>5.3411764705882341</v>
      </c>
      <c r="J41">
        <f t="shared" si="3"/>
        <v>20.732174320930376</v>
      </c>
      <c r="K41">
        <f t="shared" si="4"/>
        <v>0.94226603101549489</v>
      </c>
      <c r="L41">
        <f t="shared" si="5"/>
        <v>18.507053947930508</v>
      </c>
      <c r="M41" s="4">
        <f t="shared" si="6"/>
        <v>19.535223611704428</v>
      </c>
      <c r="N41">
        <f t="shared" si="7"/>
        <v>24.419029514630534</v>
      </c>
      <c r="O41" cm="1">
        <f t="array" ref="O41:Q41">_xlfn.XLOOKUP(C41, X$2:X$7, AG$2:AI$7)</f>
        <v>57.8</v>
      </c>
      <c r="P41">
        <v>-6.4299999999999996E-2</v>
      </c>
      <c r="Q41">
        <v>0</v>
      </c>
      <c r="R41">
        <f t="shared" si="8"/>
        <v>25.71115974525086</v>
      </c>
      <c r="S41" s="4">
        <f t="shared" si="9"/>
        <v>25.71115974525086</v>
      </c>
      <c r="T41">
        <f t="shared" si="10"/>
        <v>-6.1759361335464327</v>
      </c>
      <c r="U41">
        <f t="shared" si="11"/>
        <v>-1.2921302306203266</v>
      </c>
      <c r="X41">
        <v>161.19999999999999</v>
      </c>
      <c r="Y41">
        <v>167.29999999999998</v>
      </c>
      <c r="AB41" s="3"/>
    </row>
    <row r="42" spans="1:28">
      <c r="A42" t="s">
        <v>49</v>
      </c>
      <c r="B42" t="s">
        <v>50</v>
      </c>
      <c r="C42" t="s">
        <v>159</v>
      </c>
      <c r="D42" s="1">
        <v>228</v>
      </c>
      <c r="E42" s="1">
        <f t="shared" si="0"/>
        <v>190</v>
      </c>
      <c r="F42">
        <v>326.89999999999998</v>
      </c>
      <c r="G42" s="1">
        <v>6</v>
      </c>
      <c r="H42">
        <f t="shared" si="1"/>
        <v>136.89999999999998</v>
      </c>
      <c r="I42">
        <f t="shared" si="2"/>
        <v>8.0529411764705863</v>
      </c>
      <c r="J42">
        <f t="shared" si="3"/>
        <v>30.750381768010669</v>
      </c>
      <c r="K42">
        <f t="shared" si="4"/>
        <v>0.57566309754037293</v>
      </c>
      <c r="L42">
        <f t="shared" si="5"/>
        <v>16.770183176010345</v>
      </c>
      <c r="M42" s="4">
        <f t="shared" si="6"/>
        <v>17.70186001912203</v>
      </c>
      <c r="N42">
        <f t="shared" si="7"/>
        <v>22.127325023902536</v>
      </c>
      <c r="O42" cm="1">
        <f t="array" ref="O42:Q42">_xlfn.XLOOKUP(C42, X$2:X$7, AG$2:AI$7)</f>
        <v>56.4</v>
      </c>
      <c r="P42">
        <v>-0.16300000000000001</v>
      </c>
      <c r="Q42">
        <v>0</v>
      </c>
      <c r="R42">
        <f t="shared" si="8"/>
        <v>24.751980643392137</v>
      </c>
      <c r="S42" s="4">
        <f t="shared" si="9"/>
        <v>24.751980643392137</v>
      </c>
      <c r="T42">
        <f t="shared" si="10"/>
        <v>-7.0501206242701073</v>
      </c>
      <c r="U42">
        <f t="shared" si="11"/>
        <v>-2.6246556194896016</v>
      </c>
      <c r="X42">
        <v>156.10000000000002</v>
      </c>
      <c r="Y42">
        <v>161.19999999999999</v>
      </c>
      <c r="AB42" s="3"/>
    </row>
    <row r="43" spans="1:28">
      <c r="A43" t="s">
        <v>175</v>
      </c>
      <c r="B43" t="s">
        <v>44</v>
      </c>
      <c r="C43" t="s">
        <v>407</v>
      </c>
      <c r="D43" s="1">
        <v>116.9</v>
      </c>
      <c r="E43" s="1">
        <f t="shared" si="0"/>
        <v>93.4</v>
      </c>
      <c r="F43">
        <v>183.3</v>
      </c>
      <c r="G43" s="1">
        <v>16</v>
      </c>
      <c r="H43">
        <f t="shared" si="1"/>
        <v>89.9</v>
      </c>
      <c r="I43">
        <f t="shared" si="2"/>
        <v>5.2882352941176478</v>
      </c>
      <c r="J43">
        <f t="shared" si="3"/>
        <v>20.536591095282397</v>
      </c>
      <c r="K43">
        <f t="shared" si="4"/>
        <v>0.94226603101549489</v>
      </c>
      <c r="L43">
        <f t="shared" si="5"/>
        <v>18.332462067100959</v>
      </c>
      <c r="M43" s="4">
        <f t="shared" si="6"/>
        <v>19.3509321819399</v>
      </c>
      <c r="N43">
        <f t="shared" si="7"/>
        <v>24.188665227424874</v>
      </c>
      <c r="O43" cm="1">
        <f t="array" ref="O43:Q43">_xlfn.XLOOKUP(C43, X$2:X$7, AG$2:AI$7)</f>
        <v>57.8</v>
      </c>
      <c r="P43">
        <v>-6.4299999999999996E-2</v>
      </c>
      <c r="Q43">
        <v>0</v>
      </c>
      <c r="R43">
        <f t="shared" si="8"/>
        <v>24.109962311028429</v>
      </c>
      <c r="S43" s="4">
        <f t="shared" si="9"/>
        <v>24.109962311028429</v>
      </c>
      <c r="T43">
        <f t="shared" si="10"/>
        <v>-4.7590301290885293</v>
      </c>
      <c r="U43">
        <f t="shared" si="11"/>
        <v>7.8702916396444778E-2</v>
      </c>
      <c r="X43">
        <v>136.89999999999998</v>
      </c>
      <c r="Y43">
        <v>160.29999999999998</v>
      </c>
      <c r="AB43" s="3"/>
    </row>
    <row r="44" spans="1:28">
      <c r="A44" t="s">
        <v>425</v>
      </c>
      <c r="B44" t="s">
        <v>92</v>
      </c>
      <c r="C44" t="s">
        <v>586</v>
      </c>
      <c r="D44" s="1">
        <v>107.9</v>
      </c>
      <c r="E44" s="1">
        <f t="shared" si="0"/>
        <v>73</v>
      </c>
      <c r="F44">
        <v>184.3</v>
      </c>
      <c r="G44" s="1">
        <v>18</v>
      </c>
      <c r="H44">
        <f t="shared" si="1"/>
        <v>111.30000000000001</v>
      </c>
      <c r="I44">
        <f t="shared" si="2"/>
        <v>6.5470588235294125</v>
      </c>
      <c r="J44">
        <f t="shared" si="3"/>
        <v>25.187125571801232</v>
      </c>
      <c r="K44">
        <f t="shared" si="4"/>
        <v>1.0011070456397422</v>
      </c>
      <c r="L44">
        <f t="shared" si="5"/>
        <v>23.887903139377705</v>
      </c>
      <c r="M44" s="4">
        <f t="shared" si="6"/>
        <v>25.215008869343134</v>
      </c>
      <c r="N44">
        <f t="shared" si="7"/>
        <v>31.518761086678918</v>
      </c>
      <c r="O44" cm="1">
        <f t="array" ref="O44:Q44">_xlfn.XLOOKUP(C44, X$2:X$7, AG$2:AI$7)</f>
        <v>5.0900000000000001E-2</v>
      </c>
      <c r="P44">
        <v>-3.9</v>
      </c>
      <c r="Q44">
        <v>73.900000000000006</v>
      </c>
      <c r="R44">
        <f t="shared" si="8"/>
        <v>23.563597200000011</v>
      </c>
      <c r="S44" s="4">
        <f t="shared" si="9"/>
        <v>23.563597200000011</v>
      </c>
      <c r="T44">
        <f t="shared" si="10"/>
        <v>1.6514116693431227</v>
      </c>
      <c r="U44">
        <f t="shared" si="11"/>
        <v>7.9551638866789069</v>
      </c>
      <c r="X44">
        <v>131.60000000000002</v>
      </c>
      <c r="Y44">
        <v>156.10000000000002</v>
      </c>
      <c r="AB44" s="3"/>
    </row>
    <row r="45" spans="1:28">
      <c r="A45" t="s">
        <v>590</v>
      </c>
      <c r="B45" t="s">
        <v>62</v>
      </c>
      <c r="C45" t="s">
        <v>729</v>
      </c>
      <c r="D45" s="1">
        <v>99</v>
      </c>
      <c r="E45" s="1">
        <f t="shared" si="0"/>
        <v>82.5</v>
      </c>
      <c r="F45">
        <v>145.4</v>
      </c>
      <c r="G45" s="1">
        <v>4</v>
      </c>
      <c r="H45">
        <f t="shared" si="1"/>
        <v>62.900000000000006</v>
      </c>
      <c r="I45">
        <f t="shared" si="2"/>
        <v>3.7</v>
      </c>
      <c r="J45">
        <f t="shared" si="3"/>
        <v>14.669094325842742</v>
      </c>
      <c r="K45">
        <f t="shared" si="4"/>
        <v>1.0909252297006058</v>
      </c>
      <c r="L45">
        <f t="shared" si="5"/>
        <v>15.160627986555646</v>
      </c>
      <c r="M45" s="4">
        <f t="shared" si="6"/>
        <v>16.002885096919847</v>
      </c>
      <c r="N45">
        <f t="shared" si="7"/>
        <v>20.003606371149807</v>
      </c>
      <c r="O45" cm="1">
        <f t="array" ref="O45:Q45">_xlfn.XLOOKUP(C45, X$2:X$7, AG$2:AI$7)</f>
        <v>55.4</v>
      </c>
      <c r="P45">
        <v>-0.253</v>
      </c>
      <c r="Q45">
        <v>0</v>
      </c>
      <c r="R45">
        <f t="shared" si="8"/>
        <v>23.500364861659673</v>
      </c>
      <c r="S45" s="4">
        <f t="shared" si="9"/>
        <v>23.500364861659673</v>
      </c>
      <c r="T45">
        <f t="shared" si="10"/>
        <v>-7.4974797647398255</v>
      </c>
      <c r="U45">
        <f t="shared" si="11"/>
        <v>-3.4967584905098654</v>
      </c>
      <c r="X45">
        <v>121.5</v>
      </c>
      <c r="Y45">
        <v>154.9</v>
      </c>
      <c r="AB45" s="3"/>
    </row>
    <row r="46" spans="1:28">
      <c r="A46" t="s">
        <v>176</v>
      </c>
      <c r="B46" t="s">
        <v>58</v>
      </c>
      <c r="C46" t="s">
        <v>407</v>
      </c>
      <c r="D46" s="1">
        <v>116.9</v>
      </c>
      <c r="E46" s="1">
        <f t="shared" si="0"/>
        <v>93.4</v>
      </c>
      <c r="F46">
        <v>182</v>
      </c>
      <c r="G46" s="1">
        <v>17</v>
      </c>
      <c r="H46">
        <f t="shared" si="1"/>
        <v>88.6</v>
      </c>
      <c r="I46">
        <f t="shared" si="2"/>
        <v>5.2117647058823522</v>
      </c>
      <c r="J46">
        <f t="shared" si="3"/>
        <v>20.254081991568629</v>
      </c>
      <c r="K46">
        <f t="shared" si="4"/>
        <v>0.94226603101549489</v>
      </c>
      <c r="L46">
        <f t="shared" si="5"/>
        <v>18.080273794791584</v>
      </c>
      <c r="M46" s="4">
        <f t="shared" si="6"/>
        <v>19.084733450057783</v>
      </c>
      <c r="N46">
        <f t="shared" si="7"/>
        <v>23.855916812572229</v>
      </c>
      <c r="O46" cm="1">
        <f t="array" ref="O46:Q46">_xlfn.XLOOKUP(C46, X$2:X$7, AG$2:AI$7)</f>
        <v>57.8</v>
      </c>
      <c r="P46">
        <v>-6.4299999999999996E-2</v>
      </c>
      <c r="Q46">
        <v>0</v>
      </c>
      <c r="R46">
        <f t="shared" si="8"/>
        <v>22.608481624271427</v>
      </c>
      <c r="S46" s="4">
        <f t="shared" si="9"/>
        <v>22.608481624271427</v>
      </c>
      <c r="T46">
        <f t="shared" si="10"/>
        <v>-3.5237481742136438</v>
      </c>
      <c r="U46">
        <f t="shared" si="11"/>
        <v>1.2474351883008019</v>
      </c>
      <c r="X46">
        <v>111.10000000000002</v>
      </c>
      <c r="Y46">
        <v>154.1</v>
      </c>
      <c r="AB46" s="3"/>
    </row>
    <row r="47" spans="1:28">
      <c r="A47" t="s">
        <v>426</v>
      </c>
      <c r="B47" t="s">
        <v>72</v>
      </c>
      <c r="C47" t="s">
        <v>586</v>
      </c>
      <c r="D47" s="1">
        <v>107.9</v>
      </c>
      <c r="E47" s="1">
        <f t="shared" si="0"/>
        <v>73</v>
      </c>
      <c r="F47">
        <v>184.1</v>
      </c>
      <c r="G47" s="1">
        <v>19</v>
      </c>
      <c r="H47">
        <f t="shared" si="1"/>
        <v>111.1</v>
      </c>
      <c r="I47">
        <f t="shared" si="2"/>
        <v>6.5352941176470587</v>
      </c>
      <c r="J47">
        <f t="shared" si="3"/>
        <v>25.14366263276834</v>
      </c>
      <c r="K47">
        <f t="shared" si="4"/>
        <v>1.0011070456397422</v>
      </c>
      <c r="L47">
        <f t="shared" si="5"/>
        <v>23.846682140387141</v>
      </c>
      <c r="M47" s="4">
        <f t="shared" si="6"/>
        <v>25.171497814853094</v>
      </c>
      <c r="N47">
        <f t="shared" si="7"/>
        <v>31.464372268566368</v>
      </c>
      <c r="O47" cm="1">
        <f t="array" ref="O47:Q47">_xlfn.XLOOKUP(C47, X$2:X$7, AG$2:AI$7)</f>
        <v>5.0900000000000001E-2</v>
      </c>
      <c r="P47">
        <v>-3.9</v>
      </c>
      <c r="Q47">
        <v>73.900000000000006</v>
      </c>
      <c r="R47">
        <f t="shared" si="8"/>
        <v>21.210108300000009</v>
      </c>
      <c r="S47" s="4">
        <f t="shared" si="9"/>
        <v>21.210108300000009</v>
      </c>
      <c r="T47">
        <f t="shared" si="10"/>
        <v>3.9613895148530851</v>
      </c>
      <c r="U47">
        <f t="shared" si="11"/>
        <v>10.254263968566359</v>
      </c>
      <c r="X47">
        <v>110.89999999999998</v>
      </c>
      <c r="Y47">
        <v>138.1</v>
      </c>
      <c r="AB47" s="3"/>
    </row>
    <row r="48" spans="1:28">
      <c r="A48" t="s">
        <v>177</v>
      </c>
      <c r="B48" t="s">
        <v>78</v>
      </c>
      <c r="C48" t="s">
        <v>407</v>
      </c>
      <c r="D48" s="1">
        <v>116.9</v>
      </c>
      <c r="E48" s="1">
        <f t="shared" si="0"/>
        <v>93.4</v>
      </c>
      <c r="F48">
        <v>180.7</v>
      </c>
      <c r="G48" s="1">
        <v>18</v>
      </c>
      <c r="H48">
        <f t="shared" si="1"/>
        <v>87.299999999999983</v>
      </c>
      <c r="I48">
        <f t="shared" si="2"/>
        <v>5.1352941176470575</v>
      </c>
      <c r="J48">
        <f t="shared" si="3"/>
        <v>19.971572887854865</v>
      </c>
      <c r="K48">
        <f t="shared" si="4"/>
        <v>0.94226603101549489</v>
      </c>
      <c r="L48">
        <f t="shared" si="5"/>
        <v>17.828085522482212</v>
      </c>
      <c r="M48" s="4">
        <f t="shared" si="6"/>
        <v>18.81853471817567</v>
      </c>
      <c r="N48">
        <f t="shared" si="7"/>
        <v>23.523168397719587</v>
      </c>
      <c r="O48" cm="1">
        <f t="array" ref="O48:Q48">_xlfn.XLOOKUP(C48, X$2:X$7, AG$2:AI$7)</f>
        <v>57.8</v>
      </c>
      <c r="P48">
        <v>-6.4299999999999996E-2</v>
      </c>
      <c r="Q48">
        <v>0</v>
      </c>
      <c r="R48">
        <f t="shared" si="8"/>
        <v>21.200507688940288</v>
      </c>
      <c r="S48" s="4">
        <f t="shared" si="9"/>
        <v>21.200507688940288</v>
      </c>
      <c r="T48">
        <f t="shared" si="10"/>
        <v>-2.3819729707646182</v>
      </c>
      <c r="U48">
        <f t="shared" si="11"/>
        <v>2.3226607087792992</v>
      </c>
      <c r="X48">
        <v>110</v>
      </c>
      <c r="Y48">
        <v>136.89999999999998</v>
      </c>
      <c r="AB48" s="3"/>
    </row>
    <row r="49" spans="1:28">
      <c r="A49" t="s">
        <v>51</v>
      </c>
      <c r="B49" t="s">
        <v>52</v>
      </c>
      <c r="C49" t="s">
        <v>159</v>
      </c>
      <c r="D49" s="1">
        <v>228</v>
      </c>
      <c r="E49" s="1">
        <f t="shared" si="0"/>
        <v>190</v>
      </c>
      <c r="F49">
        <v>321.60000000000002</v>
      </c>
      <c r="G49" s="1">
        <v>7</v>
      </c>
      <c r="H49">
        <f t="shared" si="1"/>
        <v>131.60000000000002</v>
      </c>
      <c r="I49">
        <f t="shared" si="2"/>
        <v>7.7411764705882362</v>
      </c>
      <c r="J49">
        <f t="shared" si="3"/>
        <v>29.598613883639192</v>
      </c>
      <c r="K49">
        <f t="shared" si="4"/>
        <v>0.57566309754037293</v>
      </c>
      <c r="L49">
        <f t="shared" si="5"/>
        <v>16.142049237938423</v>
      </c>
      <c r="M49" s="4">
        <f t="shared" si="6"/>
        <v>17.038829751157223</v>
      </c>
      <c r="N49">
        <f t="shared" si="7"/>
        <v>21.298537188946529</v>
      </c>
      <c r="O49" cm="1">
        <f t="array" ref="O49:Q49">_xlfn.XLOOKUP(C49, X$2:X$7, AG$2:AI$7)</f>
        <v>56.4</v>
      </c>
      <c r="P49">
        <v>-0.16300000000000001</v>
      </c>
      <c r="Q49">
        <v>0</v>
      </c>
      <c r="R49">
        <f t="shared" si="8"/>
        <v>21.029064650434464</v>
      </c>
      <c r="S49" s="4">
        <f t="shared" si="9"/>
        <v>21.029064650434464</v>
      </c>
      <c r="T49">
        <f t="shared" si="10"/>
        <v>-3.9902348992772403</v>
      </c>
      <c r="U49">
        <f t="shared" si="11"/>
        <v>0.26947253851206554</v>
      </c>
      <c r="X49">
        <v>108</v>
      </c>
      <c r="Y49">
        <v>132.4</v>
      </c>
      <c r="AB49" s="3"/>
    </row>
    <row r="50" spans="1:28">
      <c r="A50" t="s">
        <v>178</v>
      </c>
      <c r="B50" t="s">
        <v>54</v>
      </c>
      <c r="C50" t="s">
        <v>407</v>
      </c>
      <c r="D50" s="1">
        <v>116.9</v>
      </c>
      <c r="E50" s="1">
        <f t="shared" si="0"/>
        <v>93.4</v>
      </c>
      <c r="F50">
        <v>180.5</v>
      </c>
      <c r="G50" s="1">
        <v>19</v>
      </c>
      <c r="H50">
        <f t="shared" si="1"/>
        <v>87.1</v>
      </c>
      <c r="I50">
        <f t="shared" si="2"/>
        <v>5.1235294117647054</v>
      </c>
      <c r="J50">
        <f t="shared" si="3"/>
        <v>19.928109948821984</v>
      </c>
      <c r="K50">
        <f t="shared" si="4"/>
        <v>0.94226603101549489</v>
      </c>
      <c r="L50">
        <f t="shared" si="5"/>
        <v>17.789287326742315</v>
      </c>
      <c r="M50" s="4">
        <f t="shared" si="6"/>
        <v>18.777581067116888</v>
      </c>
      <c r="N50">
        <f t="shared" si="7"/>
        <v>23.471976333896109</v>
      </c>
      <c r="O50" cm="1">
        <f t="array" ref="O50:Q50">_xlfn.XLOOKUP(C50, X$2:X$7, AG$2:AI$7)</f>
        <v>57.8</v>
      </c>
      <c r="P50">
        <v>-6.4299999999999996E-2</v>
      </c>
      <c r="Q50">
        <v>0</v>
      </c>
      <c r="R50">
        <f t="shared" si="8"/>
        <v>19.880217244942934</v>
      </c>
      <c r="S50" s="4">
        <f t="shared" si="9"/>
        <v>19.880217244942934</v>
      </c>
      <c r="T50">
        <f t="shared" si="10"/>
        <v>-1.1026361778260458</v>
      </c>
      <c r="U50">
        <f t="shared" si="11"/>
        <v>3.5917590889531752</v>
      </c>
      <c r="X50">
        <v>106.10000000000002</v>
      </c>
      <c r="Y50">
        <v>131.60000000000002</v>
      </c>
      <c r="AB50" s="3"/>
    </row>
    <row r="51" spans="1:28">
      <c r="A51" t="s">
        <v>427</v>
      </c>
      <c r="B51" t="s">
        <v>66</v>
      </c>
      <c r="C51" t="s">
        <v>586</v>
      </c>
      <c r="D51" s="1">
        <v>107.9</v>
      </c>
      <c r="E51" s="1">
        <f t="shared" si="0"/>
        <v>73</v>
      </c>
      <c r="F51">
        <v>179.8</v>
      </c>
      <c r="G51" s="1">
        <v>20</v>
      </c>
      <c r="H51">
        <f t="shared" si="1"/>
        <v>106.80000000000001</v>
      </c>
      <c r="I51">
        <f t="shared" si="2"/>
        <v>6.2823529411764714</v>
      </c>
      <c r="J51">
        <f t="shared" si="3"/>
        <v>24.209209443561289</v>
      </c>
      <c r="K51">
        <f t="shared" si="4"/>
        <v>1.0011070456397422</v>
      </c>
      <c r="L51">
        <f t="shared" si="5"/>
        <v>22.960430662090157</v>
      </c>
      <c r="M51" s="4">
        <f t="shared" si="6"/>
        <v>24.236010143317387</v>
      </c>
      <c r="N51">
        <f t="shared" si="7"/>
        <v>30.295012679146733</v>
      </c>
      <c r="O51" cm="1">
        <f t="array" ref="O51:Q51">_xlfn.XLOOKUP(C51, X$2:X$7, AG$2:AI$7)</f>
        <v>5.0900000000000001E-2</v>
      </c>
      <c r="P51">
        <v>-3.9</v>
      </c>
      <c r="Q51">
        <v>73.900000000000006</v>
      </c>
      <c r="R51">
        <f t="shared" si="8"/>
        <v>18.975420000000007</v>
      </c>
      <c r="S51" s="4">
        <f t="shared" si="9"/>
        <v>18.975420000000007</v>
      </c>
      <c r="T51">
        <f t="shared" si="10"/>
        <v>5.2605901433173798</v>
      </c>
      <c r="U51">
        <f t="shared" si="11"/>
        <v>11.319592679146727</v>
      </c>
      <c r="X51">
        <v>90.899999999999977</v>
      </c>
      <c r="Y51">
        <v>130.69999999999999</v>
      </c>
      <c r="AB51" s="3"/>
    </row>
    <row r="52" spans="1:28">
      <c r="A52" t="s">
        <v>179</v>
      </c>
      <c r="B52" t="s">
        <v>52</v>
      </c>
      <c r="C52" t="s">
        <v>407</v>
      </c>
      <c r="D52" s="1">
        <v>116.9</v>
      </c>
      <c r="E52" s="1">
        <f t="shared" si="0"/>
        <v>93.4</v>
      </c>
      <c r="F52">
        <v>179.3</v>
      </c>
      <c r="G52" s="1">
        <v>20</v>
      </c>
      <c r="H52">
        <f t="shared" si="1"/>
        <v>85.9</v>
      </c>
      <c r="I52">
        <f t="shared" si="2"/>
        <v>5.0529411764705889</v>
      </c>
      <c r="J52">
        <f t="shared" si="3"/>
        <v>19.667332314624669</v>
      </c>
      <c r="K52">
        <f t="shared" si="4"/>
        <v>0.94226603101549489</v>
      </c>
      <c r="L52">
        <f t="shared" si="5"/>
        <v>17.5564981523029</v>
      </c>
      <c r="M52" s="4">
        <f t="shared" si="6"/>
        <v>18.531859160764174</v>
      </c>
      <c r="N52">
        <f t="shared" si="7"/>
        <v>23.164823950955217</v>
      </c>
      <c r="O52" cm="1">
        <f t="array" ref="O52:Q52">_xlfn.XLOOKUP(C52, X$2:X$7, AG$2:AI$7)</f>
        <v>57.8</v>
      </c>
      <c r="P52">
        <v>-6.4299999999999996E-2</v>
      </c>
      <c r="Q52">
        <v>0</v>
      </c>
      <c r="R52">
        <f t="shared" si="8"/>
        <v>18.642149683627778</v>
      </c>
      <c r="S52" s="4">
        <f t="shared" si="9"/>
        <v>18.642149683627778</v>
      </c>
      <c r="T52">
        <f t="shared" si="10"/>
        <v>-0.11029052286360397</v>
      </c>
      <c r="U52">
        <f t="shared" si="11"/>
        <v>4.5226742673274387</v>
      </c>
      <c r="X52">
        <v>90.699999999999989</v>
      </c>
      <c r="Y52">
        <v>121.5</v>
      </c>
      <c r="AB52" s="3"/>
    </row>
    <row r="53" spans="1:28">
      <c r="A53" t="s">
        <v>591</v>
      </c>
      <c r="B53" t="s">
        <v>84</v>
      </c>
      <c r="C53" t="s">
        <v>729</v>
      </c>
      <c r="D53" s="1">
        <v>99</v>
      </c>
      <c r="E53" s="1">
        <f t="shared" si="0"/>
        <v>82.5</v>
      </c>
      <c r="F53">
        <v>140.69999999999999</v>
      </c>
      <c r="G53" s="1">
        <v>5</v>
      </c>
      <c r="H53">
        <f t="shared" si="1"/>
        <v>58.199999999999989</v>
      </c>
      <c r="I53">
        <f t="shared" si="2"/>
        <v>3.4235294117647053</v>
      </c>
      <c r="J53">
        <f t="shared" si="3"/>
        <v>13.647715258569912</v>
      </c>
      <c r="K53">
        <f t="shared" si="4"/>
        <v>1.0909252297006058</v>
      </c>
      <c r="L53">
        <f t="shared" si="5"/>
        <v>14.105024434746799</v>
      </c>
      <c r="M53" s="4">
        <f t="shared" si="6"/>
        <v>14.888636903343844</v>
      </c>
      <c r="N53">
        <f t="shared" si="7"/>
        <v>18.610796129179803</v>
      </c>
      <c r="O53" cm="1">
        <f t="array" ref="O53:Q53">_xlfn.XLOOKUP(C53, X$2:X$7, AG$2:AI$7)</f>
        <v>55.4</v>
      </c>
      <c r="P53">
        <v>-0.253</v>
      </c>
      <c r="Q53">
        <v>0</v>
      </c>
      <c r="R53">
        <f t="shared" si="8"/>
        <v>18.247278526217883</v>
      </c>
      <c r="S53" s="4">
        <f t="shared" si="9"/>
        <v>18.247278526217883</v>
      </c>
      <c r="T53">
        <f t="shared" si="10"/>
        <v>-3.358641622874039</v>
      </c>
      <c r="U53">
        <f t="shared" si="11"/>
        <v>0.36351760296192026</v>
      </c>
      <c r="X53">
        <v>89.600000000000023</v>
      </c>
      <c r="Y53">
        <v>115.79999999999998</v>
      </c>
      <c r="AB53" s="3"/>
    </row>
    <row r="54" spans="1:28">
      <c r="A54" t="s">
        <v>53</v>
      </c>
      <c r="B54" t="s">
        <v>54</v>
      </c>
      <c r="C54" t="s">
        <v>159</v>
      </c>
      <c r="D54" s="1">
        <v>228</v>
      </c>
      <c r="E54" s="1">
        <f t="shared" si="0"/>
        <v>190</v>
      </c>
      <c r="F54">
        <v>311.5</v>
      </c>
      <c r="G54" s="1">
        <v>8</v>
      </c>
      <c r="H54">
        <f t="shared" si="1"/>
        <v>121.5</v>
      </c>
      <c r="I54">
        <f t="shared" si="2"/>
        <v>7.1470588235294121</v>
      </c>
      <c r="J54">
        <f t="shared" si="3"/>
        <v>27.40373546247843</v>
      </c>
      <c r="K54">
        <f t="shared" si="4"/>
        <v>0.57566309754037293</v>
      </c>
      <c r="L54">
        <f t="shared" si="5"/>
        <v>14.945039280480598</v>
      </c>
      <c r="M54" s="4">
        <f t="shared" si="6"/>
        <v>15.775319240507297</v>
      </c>
      <c r="N54">
        <f t="shared" si="7"/>
        <v>19.719149050634122</v>
      </c>
      <c r="O54" cm="1">
        <f t="array" ref="O54:Q54">_xlfn.XLOOKUP(C54, X$2:X$7, AG$2:AI$7)</f>
        <v>56.4</v>
      </c>
      <c r="P54">
        <v>-0.16300000000000001</v>
      </c>
      <c r="Q54">
        <v>0</v>
      </c>
      <c r="R54">
        <f t="shared" si="8"/>
        <v>17.866108027609865</v>
      </c>
      <c r="S54" s="4">
        <f t="shared" si="9"/>
        <v>17.866108027609865</v>
      </c>
      <c r="T54">
        <f t="shared" si="10"/>
        <v>-2.0907887871025679</v>
      </c>
      <c r="U54">
        <f t="shared" si="11"/>
        <v>1.8530410230242573</v>
      </c>
      <c r="X54">
        <v>86.199999999999989</v>
      </c>
      <c r="Y54">
        <v>114.29999999999998</v>
      </c>
      <c r="AB54" s="3"/>
    </row>
    <row r="55" spans="1:28">
      <c r="A55" t="s">
        <v>463</v>
      </c>
      <c r="B55" t="s">
        <v>50</v>
      </c>
      <c r="C55" t="s">
        <v>586</v>
      </c>
      <c r="D55" s="1">
        <v>107.9</v>
      </c>
      <c r="E55" s="1">
        <f t="shared" si="0"/>
        <v>73</v>
      </c>
      <c r="F55">
        <v>73</v>
      </c>
      <c r="G55" s="1">
        <v>56</v>
      </c>
      <c r="H55">
        <f t="shared" si="1"/>
        <v>0</v>
      </c>
      <c r="I55">
        <f t="shared" si="2"/>
        <v>0</v>
      </c>
      <c r="J55">
        <f t="shared" si="3"/>
        <v>1</v>
      </c>
      <c r="K55">
        <f t="shared" si="4"/>
        <v>1.0011070456397422</v>
      </c>
      <c r="L55">
        <f t="shared" si="5"/>
        <v>0.94841720113238726</v>
      </c>
      <c r="M55" s="4">
        <f t="shared" si="6"/>
        <v>1.0011070456397422</v>
      </c>
      <c r="N55">
        <f t="shared" si="7"/>
        <v>1.2513838070496777</v>
      </c>
      <c r="O55" cm="1">
        <f t="array" ref="O55:Q55">_xlfn.XLOOKUP(C55, X$2:X$7, AG$2:AI$7)</f>
        <v>5.0900000000000001E-2</v>
      </c>
      <c r="P55">
        <v>-3.9</v>
      </c>
      <c r="Q55">
        <v>73.900000000000006</v>
      </c>
      <c r="R55">
        <f t="shared" si="8"/>
        <v>17.647840800000001</v>
      </c>
      <c r="S55" s="4">
        <f t="shared" si="9"/>
        <v>17.647840800000001</v>
      </c>
      <c r="T55">
        <f t="shared" si="10"/>
        <v>-16.646733754360259</v>
      </c>
      <c r="U55">
        <f t="shared" si="11"/>
        <v>-16.396456992950323</v>
      </c>
      <c r="X55">
        <v>81.300000000000011</v>
      </c>
      <c r="Y55">
        <v>111.10000000000002</v>
      </c>
      <c r="AB55" s="3"/>
    </row>
    <row r="56" spans="1:28">
      <c r="A56" t="s">
        <v>180</v>
      </c>
      <c r="B56" t="s">
        <v>50</v>
      </c>
      <c r="C56" t="s">
        <v>407</v>
      </c>
      <c r="D56" s="1">
        <v>116.9</v>
      </c>
      <c r="E56" s="1">
        <f t="shared" si="0"/>
        <v>93.4</v>
      </c>
      <c r="F56">
        <v>171.1</v>
      </c>
      <c r="G56" s="1">
        <v>21</v>
      </c>
      <c r="H56">
        <f t="shared" si="1"/>
        <v>77.699999999999989</v>
      </c>
      <c r="I56">
        <f t="shared" si="2"/>
        <v>4.5705882352941174</v>
      </c>
      <c r="J56">
        <f t="shared" si="3"/>
        <v>17.88535181427633</v>
      </c>
      <c r="K56">
        <f t="shared" si="4"/>
        <v>0.94226603101549489</v>
      </c>
      <c r="L56">
        <f t="shared" si="5"/>
        <v>15.965772126966888</v>
      </c>
      <c r="M56" s="4">
        <f t="shared" si="6"/>
        <v>16.852759467353938</v>
      </c>
      <c r="N56">
        <f t="shared" si="7"/>
        <v>21.065949334192421</v>
      </c>
      <c r="O56" cm="1">
        <f t="array" ref="O56:Q56">_xlfn.XLOOKUP(C56, X$2:X$7, AG$2:AI$7)</f>
        <v>57.8</v>
      </c>
      <c r="P56">
        <v>-6.4299999999999996E-2</v>
      </c>
      <c r="Q56">
        <v>0</v>
      </c>
      <c r="R56">
        <f t="shared" si="8"/>
        <v>17.481184463172141</v>
      </c>
      <c r="S56" s="4">
        <f t="shared" si="9"/>
        <v>17.481184463172141</v>
      </c>
      <c r="T56">
        <f t="shared" si="10"/>
        <v>-0.62842499581820377</v>
      </c>
      <c r="U56">
        <f t="shared" si="11"/>
        <v>3.5847648710202797</v>
      </c>
      <c r="X56">
        <v>64.800000000000011</v>
      </c>
      <c r="Y56">
        <v>110.89999999999998</v>
      </c>
      <c r="AB56" s="3"/>
    </row>
    <row r="57" spans="1:28">
      <c r="A57" t="s">
        <v>428</v>
      </c>
      <c r="B57" t="s">
        <v>100</v>
      </c>
      <c r="C57" t="s">
        <v>586</v>
      </c>
      <c r="D57" s="1">
        <v>107.9</v>
      </c>
      <c r="E57" s="1">
        <f t="shared" si="0"/>
        <v>73</v>
      </c>
      <c r="F57">
        <v>176.4</v>
      </c>
      <c r="G57" s="1">
        <v>21</v>
      </c>
      <c r="H57">
        <f t="shared" si="1"/>
        <v>103.4</v>
      </c>
      <c r="I57">
        <f t="shared" si="2"/>
        <v>6.0823529411764712</v>
      </c>
      <c r="J57">
        <f t="shared" si="3"/>
        <v>23.47033948000222</v>
      </c>
      <c r="K57">
        <f t="shared" si="4"/>
        <v>1.0011070456397422</v>
      </c>
      <c r="L57">
        <f t="shared" si="5"/>
        <v>22.259673679250678</v>
      </c>
      <c r="M57" s="4">
        <f t="shared" si="6"/>
        <v>23.496322216986826</v>
      </c>
      <c r="N57">
        <f t="shared" si="7"/>
        <v>29.370402771233532</v>
      </c>
      <c r="O57" cm="1">
        <f t="array" ref="O57:Q57">_xlfn.XLOOKUP(C57, X$2:X$7, AG$2:AI$7)</f>
        <v>5.0900000000000001E-2</v>
      </c>
      <c r="P57">
        <v>-3.9</v>
      </c>
      <c r="Q57">
        <v>73.900000000000006</v>
      </c>
      <c r="R57">
        <f t="shared" si="8"/>
        <v>16.859532300000016</v>
      </c>
      <c r="S57" s="4">
        <f t="shared" si="9"/>
        <v>16.859532300000016</v>
      </c>
      <c r="T57">
        <f t="shared" si="10"/>
        <v>6.6367899169868103</v>
      </c>
      <c r="U57">
        <f t="shared" si="11"/>
        <v>12.510870471233517</v>
      </c>
      <c r="X57">
        <v>62.400000000000006</v>
      </c>
      <c r="Y57">
        <v>110</v>
      </c>
      <c r="AB57" s="3"/>
    </row>
    <row r="58" spans="1:28">
      <c r="A58" t="s">
        <v>181</v>
      </c>
      <c r="B58" t="s">
        <v>100</v>
      </c>
      <c r="C58" t="s">
        <v>407</v>
      </c>
      <c r="D58" s="1">
        <v>116.9</v>
      </c>
      <c r="E58" s="1">
        <f t="shared" si="0"/>
        <v>93.4</v>
      </c>
      <c r="F58">
        <v>170.4</v>
      </c>
      <c r="G58" s="1">
        <v>22</v>
      </c>
      <c r="H58">
        <f t="shared" si="1"/>
        <v>77</v>
      </c>
      <c r="I58">
        <f t="shared" si="2"/>
        <v>4.5294117647058822</v>
      </c>
      <c r="J58">
        <f t="shared" si="3"/>
        <v>17.733231527661228</v>
      </c>
      <c r="K58">
        <f t="shared" si="4"/>
        <v>0.94226603101549489</v>
      </c>
      <c r="L58">
        <f t="shared" si="5"/>
        <v>15.82997844187723</v>
      </c>
      <c r="M58" s="4">
        <f t="shared" si="6"/>
        <v>16.709421688648188</v>
      </c>
      <c r="N58">
        <f t="shared" si="7"/>
        <v>20.886777110810236</v>
      </c>
      <c r="O58" cm="1">
        <f t="array" ref="O58:Q58">_xlfn.XLOOKUP(C58, X$2:X$7, AG$2:AI$7)</f>
        <v>57.8</v>
      </c>
      <c r="P58">
        <v>-6.4299999999999996E-2</v>
      </c>
      <c r="Q58">
        <v>0</v>
      </c>
      <c r="R58">
        <f t="shared" si="8"/>
        <v>16.392519930458072</v>
      </c>
      <c r="S58" s="4">
        <f t="shared" si="9"/>
        <v>16.392519930458072</v>
      </c>
      <c r="T58">
        <f t="shared" si="10"/>
        <v>0.31690175819011657</v>
      </c>
      <c r="U58">
        <f t="shared" si="11"/>
        <v>4.4942571803521645</v>
      </c>
      <c r="X58">
        <v>61.800000000000011</v>
      </c>
      <c r="Y58">
        <v>108</v>
      </c>
      <c r="AB58" s="3"/>
    </row>
    <row r="59" spans="1:28">
      <c r="A59" t="s">
        <v>462</v>
      </c>
      <c r="B59" t="s">
        <v>102</v>
      </c>
      <c r="C59" t="s">
        <v>586</v>
      </c>
      <c r="D59" s="1">
        <v>107.9</v>
      </c>
      <c r="E59" s="1">
        <f t="shared" si="0"/>
        <v>73</v>
      </c>
      <c r="F59">
        <v>73.2</v>
      </c>
      <c r="G59" s="1">
        <v>55</v>
      </c>
      <c r="H59">
        <f t="shared" si="1"/>
        <v>0.20000000000000284</v>
      </c>
      <c r="I59">
        <f t="shared" si="2"/>
        <v>1.1764705882353108E-2</v>
      </c>
      <c r="J59">
        <f t="shared" si="3"/>
        <v>1.0434629390328869</v>
      </c>
      <c r="K59">
        <f t="shared" si="4"/>
        <v>1.0011070456397422</v>
      </c>
      <c r="L59">
        <f t="shared" si="5"/>
        <v>0.98963820012294557</v>
      </c>
      <c r="M59" s="4">
        <f t="shared" si="6"/>
        <v>1.0446181001297759</v>
      </c>
      <c r="N59">
        <f t="shared" si="7"/>
        <v>1.3057726251622199</v>
      </c>
      <c r="O59" cm="1">
        <f t="array" ref="O59:Q59">_xlfn.XLOOKUP(C59, X$2:X$7, AG$2:AI$7)</f>
        <v>5.0900000000000001E-2</v>
      </c>
      <c r="P59">
        <v>-3.9</v>
      </c>
      <c r="Q59">
        <v>73.900000000000006</v>
      </c>
      <c r="R59">
        <f t="shared" si="8"/>
        <v>15.605707500000003</v>
      </c>
      <c r="S59" s="4">
        <f t="shared" si="9"/>
        <v>15.605707500000003</v>
      </c>
      <c r="T59">
        <f t="shared" si="10"/>
        <v>-14.561089399870227</v>
      </c>
      <c r="U59">
        <f t="shared" si="11"/>
        <v>-14.299934874837783</v>
      </c>
      <c r="X59">
        <v>57.800000000000011</v>
      </c>
      <c r="Y59">
        <v>106.10000000000002</v>
      </c>
      <c r="AB59" s="3"/>
    </row>
    <row r="60" spans="1:28">
      <c r="A60" t="s">
        <v>182</v>
      </c>
      <c r="B60" t="s">
        <v>90</v>
      </c>
      <c r="C60" t="s">
        <v>407</v>
      </c>
      <c r="D60" s="1">
        <v>116.9</v>
      </c>
      <c r="E60" s="1">
        <f t="shared" si="0"/>
        <v>93.4</v>
      </c>
      <c r="F60">
        <v>169.3</v>
      </c>
      <c r="G60" s="1">
        <v>23</v>
      </c>
      <c r="H60">
        <f t="shared" si="1"/>
        <v>75.900000000000006</v>
      </c>
      <c r="I60">
        <f t="shared" si="2"/>
        <v>4.4647058823529413</v>
      </c>
      <c r="J60">
        <f t="shared" si="3"/>
        <v>17.494185362980353</v>
      </c>
      <c r="K60">
        <f t="shared" si="4"/>
        <v>0.94226603101549489</v>
      </c>
      <c r="L60">
        <f t="shared" si="5"/>
        <v>15.616588365307766</v>
      </c>
      <c r="M60" s="4">
        <f t="shared" si="6"/>
        <v>16.484176607824864</v>
      </c>
      <c r="N60">
        <f t="shared" si="7"/>
        <v>20.60522075978108</v>
      </c>
      <c r="O60" cm="1">
        <f t="array" ref="O60:Q60">_xlfn.XLOOKUP(C60, X$2:X$7, AG$2:AI$7)</f>
        <v>57.8</v>
      </c>
      <c r="P60">
        <v>-6.4299999999999996E-2</v>
      </c>
      <c r="Q60">
        <v>0</v>
      </c>
      <c r="R60">
        <f t="shared" si="8"/>
        <v>15.371653461844662</v>
      </c>
      <c r="S60" s="4">
        <f t="shared" si="9"/>
        <v>15.371653461844662</v>
      </c>
      <c r="T60">
        <f t="shared" si="10"/>
        <v>1.1125231459802016</v>
      </c>
      <c r="U60">
        <f t="shared" si="11"/>
        <v>5.2335672979364176</v>
      </c>
      <c r="X60">
        <v>53.199999999999989</v>
      </c>
      <c r="Y60">
        <v>104</v>
      </c>
      <c r="AB60" s="3"/>
    </row>
    <row r="61" spans="1:28">
      <c r="A61" t="s">
        <v>55</v>
      </c>
      <c r="B61" t="s">
        <v>56</v>
      </c>
      <c r="C61" t="s">
        <v>159</v>
      </c>
      <c r="D61" s="1">
        <v>228</v>
      </c>
      <c r="E61" s="1">
        <f t="shared" si="0"/>
        <v>190</v>
      </c>
      <c r="F61">
        <v>301.10000000000002</v>
      </c>
      <c r="G61" s="1">
        <v>9</v>
      </c>
      <c r="H61">
        <f t="shared" si="1"/>
        <v>111.10000000000002</v>
      </c>
      <c r="I61">
        <f t="shared" si="2"/>
        <v>6.5352941176470605</v>
      </c>
      <c r="J61">
        <f t="shared" si="3"/>
        <v>25.143662632768347</v>
      </c>
      <c r="K61">
        <f t="shared" si="4"/>
        <v>0.57566309754037293</v>
      </c>
      <c r="L61">
        <f t="shared" si="5"/>
        <v>13.712474571811159</v>
      </c>
      <c r="M61" s="4">
        <f t="shared" si="6"/>
        <v>14.474278714689556</v>
      </c>
      <c r="N61">
        <f t="shared" si="7"/>
        <v>18.092848393361944</v>
      </c>
      <c r="O61" cm="1">
        <f t="array" ref="O61:Q61">_xlfn.XLOOKUP(C61, X$2:X$7, AG$2:AI$7)</f>
        <v>56.4</v>
      </c>
      <c r="P61">
        <v>-0.16300000000000001</v>
      </c>
      <c r="Q61">
        <v>0</v>
      </c>
      <c r="R61">
        <f t="shared" si="8"/>
        <v>15.178887951520515</v>
      </c>
      <c r="S61" s="4">
        <f t="shared" si="9"/>
        <v>15.178887951520515</v>
      </c>
      <c r="T61">
        <f t="shared" si="10"/>
        <v>-0.70460923683095977</v>
      </c>
      <c r="U61">
        <f t="shared" si="11"/>
        <v>2.9139604418414287</v>
      </c>
      <c r="X61">
        <v>48.199999999999989</v>
      </c>
      <c r="Y61">
        <v>103.5</v>
      </c>
      <c r="AB61" s="3"/>
    </row>
    <row r="62" spans="1:28">
      <c r="A62" t="s">
        <v>429</v>
      </c>
      <c r="B62" t="s">
        <v>86</v>
      </c>
      <c r="C62" t="s">
        <v>586</v>
      </c>
      <c r="D62" s="1">
        <v>107.9</v>
      </c>
      <c r="E62" s="1">
        <f t="shared" si="0"/>
        <v>73</v>
      </c>
      <c r="F62">
        <v>175.3</v>
      </c>
      <c r="G62" s="1">
        <v>22</v>
      </c>
      <c r="H62">
        <f t="shared" si="1"/>
        <v>102.30000000000001</v>
      </c>
      <c r="I62">
        <f t="shared" si="2"/>
        <v>6.0176470588235302</v>
      </c>
      <c r="J62">
        <f t="shared" si="3"/>
        <v>23.231293315321349</v>
      </c>
      <c r="K62">
        <f t="shared" si="4"/>
        <v>1.0011070456397422</v>
      </c>
      <c r="L62">
        <f t="shared" si="5"/>
        <v>22.032958184802613</v>
      </c>
      <c r="M62" s="4">
        <f t="shared" si="6"/>
        <v>23.257011417291647</v>
      </c>
      <c r="N62">
        <f t="shared" si="7"/>
        <v>29.07126427161456</v>
      </c>
      <c r="O62" cm="1">
        <f t="array" ref="O62:Q62">_xlfn.XLOOKUP(C62, X$2:X$7, AG$2:AI$7)</f>
        <v>5.0900000000000001E-2</v>
      </c>
      <c r="P62">
        <v>-3.9</v>
      </c>
      <c r="Q62">
        <v>73.900000000000006</v>
      </c>
      <c r="R62">
        <f t="shared" si="8"/>
        <v>14.862445200000007</v>
      </c>
      <c r="S62" s="4">
        <f t="shared" si="9"/>
        <v>14.862445200000007</v>
      </c>
      <c r="T62">
        <f t="shared" si="10"/>
        <v>8.39456621729164</v>
      </c>
      <c r="U62">
        <f t="shared" si="11"/>
        <v>14.208819071614553</v>
      </c>
      <c r="X62">
        <v>37.900000000000006</v>
      </c>
      <c r="Y62">
        <v>95.799999999999983</v>
      </c>
      <c r="AB62" s="3"/>
    </row>
    <row r="63" spans="1:28">
      <c r="A63" t="s">
        <v>183</v>
      </c>
      <c r="B63" t="s">
        <v>52</v>
      </c>
      <c r="C63" t="s">
        <v>407</v>
      </c>
      <c r="D63" s="1">
        <v>116.9</v>
      </c>
      <c r="E63" s="1">
        <f t="shared" si="0"/>
        <v>93.4</v>
      </c>
      <c r="F63">
        <v>169.1</v>
      </c>
      <c r="G63" s="1">
        <v>24</v>
      </c>
      <c r="H63">
        <f t="shared" si="1"/>
        <v>75.699999999999989</v>
      </c>
      <c r="I63">
        <f t="shared" si="2"/>
        <v>4.4529411764705875</v>
      </c>
      <c r="J63">
        <f t="shared" si="3"/>
        <v>17.450722423947465</v>
      </c>
      <c r="K63">
        <f t="shared" si="4"/>
        <v>0.94226603101549489</v>
      </c>
      <c r="L63">
        <f t="shared" si="5"/>
        <v>15.57779016956786</v>
      </c>
      <c r="M63" s="4">
        <f t="shared" si="6"/>
        <v>16.443222956766075</v>
      </c>
      <c r="N63">
        <f t="shared" si="7"/>
        <v>20.554028695957594</v>
      </c>
      <c r="O63" cm="1">
        <f t="array" ref="O63:Q63">_xlfn.XLOOKUP(C63, X$2:X$7, AG$2:AI$7)</f>
        <v>57.8</v>
      </c>
      <c r="P63">
        <v>-6.4299999999999996E-2</v>
      </c>
      <c r="Q63">
        <v>0</v>
      </c>
      <c r="R63">
        <f t="shared" si="8"/>
        <v>14.414362840700731</v>
      </c>
      <c r="S63" s="4">
        <f t="shared" si="9"/>
        <v>14.414362840700731</v>
      </c>
      <c r="T63">
        <f t="shared" si="10"/>
        <v>2.0288601160653439</v>
      </c>
      <c r="U63">
        <f t="shared" si="11"/>
        <v>6.1396658552568635</v>
      </c>
      <c r="X63">
        <v>33.199999999999989</v>
      </c>
      <c r="Y63">
        <v>94.699999999999989</v>
      </c>
      <c r="AB63" s="3"/>
    </row>
    <row r="64" spans="1:28">
      <c r="A64" t="s">
        <v>592</v>
      </c>
      <c r="B64" t="s">
        <v>102</v>
      </c>
      <c r="C64" t="s">
        <v>729</v>
      </c>
      <c r="D64" s="1">
        <v>99</v>
      </c>
      <c r="E64" s="1">
        <f t="shared" si="0"/>
        <v>82.5</v>
      </c>
      <c r="F64">
        <v>132.1</v>
      </c>
      <c r="G64" s="1">
        <v>6</v>
      </c>
      <c r="H64">
        <f t="shared" si="1"/>
        <v>49.599999999999994</v>
      </c>
      <c r="I64">
        <f t="shared" si="2"/>
        <v>2.9176470588235293</v>
      </c>
      <c r="J64">
        <f t="shared" si="3"/>
        <v>11.778808880155802</v>
      </c>
      <c r="K64">
        <f t="shared" si="4"/>
        <v>1.0909252297006058</v>
      </c>
      <c r="L64">
        <f t="shared" si="5"/>
        <v>12.173494531437003</v>
      </c>
      <c r="M64" s="4">
        <f t="shared" si="6"/>
        <v>12.849799783183503</v>
      </c>
      <c r="N64">
        <f t="shared" si="7"/>
        <v>16.062249728979378</v>
      </c>
      <c r="O64" cm="1">
        <f t="array" ref="O64:Q64">_xlfn.XLOOKUP(C64, X$2:X$7, AG$2:AI$7)</f>
        <v>55.4</v>
      </c>
      <c r="P64">
        <v>-0.253</v>
      </c>
      <c r="Q64">
        <v>0</v>
      </c>
      <c r="R64">
        <f t="shared" si="8"/>
        <v>14.168425706300177</v>
      </c>
      <c r="S64" s="4">
        <f t="shared" si="9"/>
        <v>14.168425706300177</v>
      </c>
      <c r="T64">
        <f t="shared" si="10"/>
        <v>-1.3186259231166737</v>
      </c>
      <c r="U64">
        <f t="shared" si="11"/>
        <v>1.8938240226792011</v>
      </c>
      <c r="X64">
        <v>28.699999999999989</v>
      </c>
      <c r="Y64">
        <v>92</v>
      </c>
      <c r="AB64" s="3"/>
    </row>
    <row r="65" spans="1:28">
      <c r="A65" t="s">
        <v>461</v>
      </c>
      <c r="B65" t="s">
        <v>46</v>
      </c>
      <c r="C65" t="s">
        <v>586</v>
      </c>
      <c r="D65" s="1">
        <v>107.9</v>
      </c>
      <c r="E65" s="1">
        <f t="shared" si="0"/>
        <v>73</v>
      </c>
      <c r="F65">
        <v>82.1</v>
      </c>
      <c r="G65" s="1">
        <v>54</v>
      </c>
      <c r="H65">
        <f t="shared" si="1"/>
        <v>9.0999999999999943</v>
      </c>
      <c r="I65">
        <f t="shared" si="2"/>
        <v>0.53529411764705848</v>
      </c>
      <c r="J65">
        <f t="shared" si="3"/>
        <v>2.9775637259963252</v>
      </c>
      <c r="K65">
        <f t="shared" si="4"/>
        <v>1.0011070456397422</v>
      </c>
      <c r="L65">
        <f t="shared" si="5"/>
        <v>2.8239726552027578</v>
      </c>
      <c r="M65" s="4">
        <f t="shared" si="6"/>
        <v>2.980860024936244</v>
      </c>
      <c r="N65">
        <f t="shared" si="7"/>
        <v>3.7260750311703053</v>
      </c>
      <c r="O65" cm="1">
        <f t="array" ref="O65:Q65">_xlfn.XLOOKUP(C65, X$2:X$7, AG$2:AI$7)</f>
        <v>5.0900000000000001E-2</v>
      </c>
      <c r="P65">
        <v>-3.9</v>
      </c>
      <c r="Q65">
        <v>73.900000000000006</v>
      </c>
      <c r="R65">
        <f t="shared" si="8"/>
        <v>13.682374800000003</v>
      </c>
      <c r="S65" s="4">
        <f t="shared" si="9"/>
        <v>13.682374800000003</v>
      </c>
      <c r="T65">
        <f t="shared" si="10"/>
        <v>-10.70151477506376</v>
      </c>
      <c r="U65">
        <f t="shared" si="11"/>
        <v>-9.9562997688296981</v>
      </c>
      <c r="V65">
        <v>1</v>
      </c>
      <c r="X65">
        <v>27.800000000000011</v>
      </c>
      <c r="Y65">
        <v>90.899999999999977</v>
      </c>
      <c r="AB65" s="3"/>
    </row>
    <row r="66" spans="1:28">
      <c r="A66" t="s">
        <v>184</v>
      </c>
      <c r="B66" t="s">
        <v>96</v>
      </c>
      <c r="C66" t="s">
        <v>407</v>
      </c>
      <c r="D66" s="1">
        <v>116.9</v>
      </c>
      <c r="E66" s="1">
        <f t="shared" ref="E66:E129" si="14">IF(C66=X$2, AE$2, IF(C66 = X$3, AE$3, IF(C66 = X$4, AE$4, IF(C66 = X$5, AE$5, IF(C66=X$6, AE$6, IF(C66=X$7, AE$7, ""))))))</f>
        <v>93.4</v>
      </c>
      <c r="F66">
        <v>168.6</v>
      </c>
      <c r="G66" s="1">
        <v>25</v>
      </c>
      <c r="H66">
        <f t="shared" ref="H66:H129" si="15">F66-E66</f>
        <v>75.199999999999989</v>
      </c>
      <c r="I66">
        <f t="shared" ref="I66:I129" si="16">H66/17</f>
        <v>4.4235294117647053</v>
      </c>
      <c r="J66">
        <f t="shared" ref="J66:J129" si="17">IF(1+I66/AK$2&lt;0, 0,(1+I66/AK$2))</f>
        <v>17.342065076365248</v>
      </c>
      <c r="K66">
        <f t="shared" ref="K66:K129" si="18">IF(C66=X$2, AB$2, IF(C66 = X$3, AB$3, IF(C66 = X$4, AB$4, IF(C66 = X$5, AB$5, IF(C66=X$6, AB$6, IF(C66=X$7, AB$7, ""))))))</f>
        <v>0.94226603101549489</v>
      </c>
      <c r="L66">
        <f t="shared" ref="L66:L129" si="19">M66/AN$21*AN$12</f>
        <v>15.480794680218102</v>
      </c>
      <c r="M66" s="4">
        <f t="shared" ref="M66:M129" si="20">J66*K66</f>
        <v>16.340838829119107</v>
      </c>
      <c r="N66">
        <f t="shared" ref="N66:N129" si="21">M66*1.25</f>
        <v>20.426048536398884</v>
      </c>
      <c r="O66" cm="1">
        <f t="array" ref="O66:Q66">_xlfn.XLOOKUP(C66, X$2:X$7, AG$2:AI$7)</f>
        <v>57.8</v>
      </c>
      <c r="P66">
        <v>-6.4299999999999996E-2</v>
      </c>
      <c r="Q66">
        <v>0</v>
      </c>
      <c r="R66">
        <f t="shared" ref="R66:R129" si="22">IF(Q66=0,1.167*O66*EXP(P66*G66),1.167*(O66*G66^2+P66*G66+Q66))</f>
        <v>13.516688794677025</v>
      </c>
      <c r="S66" s="4">
        <f t="shared" ref="S66:S129" si="23">IF(OR(H66&lt;0, R66&lt;1), 1, R66)</f>
        <v>13.516688794677025</v>
      </c>
      <c r="T66">
        <f t="shared" ref="T66:T129" si="24">M66-S66</f>
        <v>2.8241500344420825</v>
      </c>
      <c r="U66">
        <f t="shared" ref="U66:U129" si="25">N66-S66</f>
        <v>6.9093597417218593</v>
      </c>
      <c r="X66">
        <v>24.599999999999994</v>
      </c>
      <c r="Y66">
        <v>90.799999999999983</v>
      </c>
      <c r="AB66" s="3"/>
    </row>
    <row r="67" spans="1:28">
      <c r="A67" t="s">
        <v>430</v>
      </c>
      <c r="B67" t="s">
        <v>46</v>
      </c>
      <c r="C67" t="s">
        <v>586</v>
      </c>
      <c r="D67" s="1">
        <v>107.9</v>
      </c>
      <c r="E67" s="1">
        <f t="shared" si="14"/>
        <v>73</v>
      </c>
      <c r="F67">
        <v>169.1</v>
      </c>
      <c r="G67" s="1">
        <v>23</v>
      </c>
      <c r="H67">
        <f t="shared" si="15"/>
        <v>96.1</v>
      </c>
      <c r="I67">
        <f t="shared" si="16"/>
        <v>5.6529411764705877</v>
      </c>
      <c r="J67">
        <f t="shared" si="17"/>
        <v>21.883942205301867</v>
      </c>
      <c r="K67">
        <f t="shared" si="18"/>
        <v>1.0011070456397422</v>
      </c>
      <c r="L67">
        <f t="shared" si="19"/>
        <v>20.755107216095322</v>
      </c>
      <c r="M67" s="4">
        <f t="shared" si="20"/>
        <v>21.908168728100616</v>
      </c>
      <c r="N67">
        <f t="shared" si="21"/>
        <v>27.385210910125771</v>
      </c>
      <c r="O67" cm="1">
        <f t="array" ref="O67:Q67">_xlfn.XLOOKUP(C67, X$2:X$7, AG$2:AI$7)</f>
        <v>5.0900000000000001E-2</v>
      </c>
      <c r="P67">
        <v>-3.9</v>
      </c>
      <c r="Q67">
        <v>73.900000000000006</v>
      </c>
      <c r="R67">
        <f t="shared" si="22"/>
        <v>12.984158700000011</v>
      </c>
      <c r="S67" s="4">
        <f t="shared" si="23"/>
        <v>12.984158700000011</v>
      </c>
      <c r="T67">
        <f t="shared" si="24"/>
        <v>8.9240100281006054</v>
      </c>
      <c r="U67">
        <f t="shared" si="25"/>
        <v>14.40105221012576</v>
      </c>
      <c r="X67">
        <v>17.900000000000006</v>
      </c>
      <c r="Y67">
        <v>90.699999999999989</v>
      </c>
      <c r="AB67" s="3"/>
    </row>
    <row r="68" spans="1:28">
      <c r="A68" t="s">
        <v>57</v>
      </c>
      <c r="B68" t="s">
        <v>58</v>
      </c>
      <c r="C68" t="s">
        <v>159</v>
      </c>
      <c r="D68" s="1">
        <v>228</v>
      </c>
      <c r="E68" s="1">
        <f t="shared" si="14"/>
        <v>190</v>
      </c>
      <c r="F68">
        <v>300.89999999999998</v>
      </c>
      <c r="G68" s="1">
        <v>10</v>
      </c>
      <c r="H68">
        <f t="shared" si="15"/>
        <v>110.89999999999998</v>
      </c>
      <c r="I68">
        <f t="shared" si="16"/>
        <v>6.5235294117647049</v>
      </c>
      <c r="J68">
        <f t="shared" si="17"/>
        <v>25.100199693735451</v>
      </c>
      <c r="K68">
        <f t="shared" si="18"/>
        <v>0.57566309754037293</v>
      </c>
      <c r="L68">
        <f t="shared" si="19"/>
        <v>13.688771404336739</v>
      </c>
      <c r="M68" s="4">
        <f t="shared" si="20"/>
        <v>14.449258704577669</v>
      </c>
      <c r="N68">
        <f t="shared" si="21"/>
        <v>18.061573380722088</v>
      </c>
      <c r="O68" cm="1">
        <f t="array" ref="O68:Q68">_xlfn.XLOOKUP(C68, X$2:X$7, AG$2:AI$7)</f>
        <v>56.4</v>
      </c>
      <c r="P68">
        <v>-0.16300000000000001</v>
      </c>
      <c r="Q68">
        <v>0</v>
      </c>
      <c r="R68">
        <f t="shared" si="22"/>
        <v>12.895849453544219</v>
      </c>
      <c r="S68" s="4">
        <f t="shared" si="23"/>
        <v>12.895849453544219</v>
      </c>
      <c r="T68">
        <f t="shared" si="24"/>
        <v>1.5534092510334503</v>
      </c>
      <c r="U68">
        <f t="shared" si="25"/>
        <v>5.1657239271778685</v>
      </c>
      <c r="X68">
        <v>2.9000000000000057</v>
      </c>
      <c r="Y68">
        <v>89.9</v>
      </c>
      <c r="AB68" s="3"/>
    </row>
    <row r="69" spans="1:28">
      <c r="A69" t="s">
        <v>185</v>
      </c>
      <c r="B69" t="s">
        <v>100</v>
      </c>
      <c r="C69" t="s">
        <v>407</v>
      </c>
      <c r="D69" s="1">
        <v>116.9</v>
      </c>
      <c r="E69" s="1">
        <f t="shared" si="14"/>
        <v>93.4</v>
      </c>
      <c r="F69">
        <v>167</v>
      </c>
      <c r="G69" s="1">
        <v>26</v>
      </c>
      <c r="H69">
        <f t="shared" si="15"/>
        <v>73.599999999999994</v>
      </c>
      <c r="I69">
        <f t="shared" si="16"/>
        <v>4.3294117647058821</v>
      </c>
      <c r="J69">
        <f t="shared" si="17"/>
        <v>16.994361564102157</v>
      </c>
      <c r="K69">
        <f t="shared" si="18"/>
        <v>0.94226603101549489</v>
      </c>
      <c r="L69">
        <f t="shared" si="19"/>
        <v>15.170409114298877</v>
      </c>
      <c r="M69" s="4">
        <f t="shared" si="20"/>
        <v>16.013209620648816</v>
      </c>
      <c r="N69">
        <f t="shared" si="21"/>
        <v>20.016512025811018</v>
      </c>
      <c r="O69" cm="1">
        <f t="array" ref="O69:Q69">_xlfn.XLOOKUP(C69, X$2:X$7, AG$2:AI$7)</f>
        <v>57.8</v>
      </c>
      <c r="P69">
        <v>-6.4299999999999996E-2</v>
      </c>
      <c r="Q69">
        <v>0</v>
      </c>
      <c r="R69">
        <f t="shared" si="22"/>
        <v>12.674918620493511</v>
      </c>
      <c r="S69" s="4">
        <f t="shared" si="23"/>
        <v>12.674918620493511</v>
      </c>
      <c r="T69">
        <f t="shared" si="24"/>
        <v>3.338291000155305</v>
      </c>
      <c r="U69">
        <f t="shared" si="25"/>
        <v>7.3415934053175071</v>
      </c>
      <c r="X69">
        <v>2</v>
      </c>
      <c r="Y69">
        <v>89.600000000000023</v>
      </c>
      <c r="AB69" s="3"/>
    </row>
    <row r="70" spans="1:28">
      <c r="A70" t="s">
        <v>186</v>
      </c>
      <c r="B70" t="s">
        <v>58</v>
      </c>
      <c r="C70" t="s">
        <v>407</v>
      </c>
      <c r="D70" s="1">
        <v>116.9</v>
      </c>
      <c r="E70" s="1">
        <f t="shared" si="14"/>
        <v>93.4</v>
      </c>
      <c r="F70">
        <v>166</v>
      </c>
      <c r="G70" s="1">
        <v>27</v>
      </c>
      <c r="H70">
        <f t="shared" si="15"/>
        <v>72.599999999999994</v>
      </c>
      <c r="I70">
        <f t="shared" si="16"/>
        <v>4.2705882352941176</v>
      </c>
      <c r="J70">
        <f t="shared" si="17"/>
        <v>16.777046868937727</v>
      </c>
      <c r="K70">
        <f t="shared" si="18"/>
        <v>0.94226603101549489</v>
      </c>
      <c r="L70">
        <f t="shared" si="19"/>
        <v>14.976418135599369</v>
      </c>
      <c r="M70" s="4">
        <f t="shared" si="20"/>
        <v>15.808441365354888</v>
      </c>
      <c r="N70">
        <f t="shared" si="21"/>
        <v>19.760551706693612</v>
      </c>
      <c r="O70" cm="1">
        <f t="array" ref="O70:Q70">_xlfn.XLOOKUP(C70, X$2:X$7, AG$2:AI$7)</f>
        <v>57.8</v>
      </c>
      <c r="P70">
        <v>-6.4299999999999996E-2</v>
      </c>
      <c r="Q70">
        <v>0</v>
      </c>
      <c r="R70">
        <f t="shared" si="22"/>
        <v>11.885570828515318</v>
      </c>
      <c r="S70" s="4">
        <f t="shared" si="23"/>
        <v>11.885570828515318</v>
      </c>
      <c r="T70">
        <f t="shared" si="24"/>
        <v>3.9228705368395698</v>
      </c>
      <c r="U70">
        <f t="shared" si="25"/>
        <v>7.8749808781782935</v>
      </c>
      <c r="Y70">
        <v>88.6</v>
      </c>
      <c r="AB70" s="3"/>
    </row>
    <row r="71" spans="1:28">
      <c r="A71" t="s">
        <v>460</v>
      </c>
      <c r="B71" t="s">
        <v>58</v>
      </c>
      <c r="C71" t="s">
        <v>586</v>
      </c>
      <c r="D71" s="1">
        <v>107.9</v>
      </c>
      <c r="E71" s="1">
        <f t="shared" si="14"/>
        <v>73</v>
      </c>
      <c r="F71">
        <v>87.1</v>
      </c>
      <c r="G71" s="1">
        <v>53</v>
      </c>
      <c r="H71">
        <f t="shared" si="15"/>
        <v>14.099999999999994</v>
      </c>
      <c r="I71">
        <f t="shared" si="16"/>
        <v>0.82941176470588207</v>
      </c>
      <c r="J71">
        <f t="shared" si="17"/>
        <v>4.0641372018184834</v>
      </c>
      <c r="K71">
        <f t="shared" si="18"/>
        <v>1.0011070456397422</v>
      </c>
      <c r="L71">
        <f t="shared" si="19"/>
        <v>3.8544976299666982</v>
      </c>
      <c r="M71" s="4">
        <f t="shared" si="20"/>
        <v>4.0686363871870705</v>
      </c>
      <c r="N71">
        <f t="shared" si="21"/>
        <v>5.085795483983838</v>
      </c>
      <c r="O71" cm="1">
        <f t="array" ref="O71:Q71">_xlfn.XLOOKUP(C71, X$2:X$7, AG$2:AI$7)</f>
        <v>5.0900000000000001E-2</v>
      </c>
      <c r="P71">
        <v>-3.9</v>
      </c>
      <c r="Q71">
        <v>73.900000000000006</v>
      </c>
      <c r="R71">
        <f t="shared" si="22"/>
        <v>11.877842700000034</v>
      </c>
      <c r="S71" s="4">
        <f t="shared" si="23"/>
        <v>11.877842700000034</v>
      </c>
      <c r="T71">
        <f t="shared" si="24"/>
        <v>-7.8092063128129636</v>
      </c>
      <c r="U71">
        <f t="shared" si="25"/>
        <v>-6.7920472160161962</v>
      </c>
      <c r="V71">
        <v>1</v>
      </c>
      <c r="Y71">
        <v>87.299999999999983</v>
      </c>
      <c r="AB71" s="3"/>
    </row>
    <row r="72" spans="1:28">
      <c r="A72" t="s">
        <v>431</v>
      </c>
      <c r="B72" t="s">
        <v>82</v>
      </c>
      <c r="C72" t="s">
        <v>586</v>
      </c>
      <c r="D72" s="1">
        <v>107.9</v>
      </c>
      <c r="E72" s="1">
        <f t="shared" si="14"/>
        <v>73</v>
      </c>
      <c r="F72">
        <v>168.5</v>
      </c>
      <c r="G72" s="1">
        <v>24</v>
      </c>
      <c r="H72">
        <f t="shared" si="15"/>
        <v>95.5</v>
      </c>
      <c r="I72">
        <f t="shared" si="16"/>
        <v>5.617647058823529</v>
      </c>
      <c r="J72">
        <f t="shared" si="17"/>
        <v>21.753553388203208</v>
      </c>
      <c r="K72">
        <f t="shared" si="18"/>
        <v>1.0011070456397422</v>
      </c>
      <c r="L72">
        <f t="shared" si="19"/>
        <v>20.631444219123647</v>
      </c>
      <c r="M72" s="4">
        <f t="shared" si="20"/>
        <v>21.777635564630518</v>
      </c>
      <c r="N72">
        <f t="shared" si="21"/>
        <v>27.222044455788147</v>
      </c>
      <c r="O72" cm="1">
        <f t="array" ref="O72:Q72">_xlfn.XLOOKUP(C72, X$2:X$7, AG$2:AI$7)</f>
        <v>5.0900000000000001E-2</v>
      </c>
      <c r="P72">
        <v>-3.9</v>
      </c>
      <c r="Q72">
        <v>73.900000000000006</v>
      </c>
      <c r="R72">
        <f t="shared" si="22"/>
        <v>11.224672800000009</v>
      </c>
      <c r="S72" s="4">
        <f t="shared" si="23"/>
        <v>11.224672800000009</v>
      </c>
      <c r="T72">
        <f t="shared" si="24"/>
        <v>10.552962764630509</v>
      </c>
      <c r="U72">
        <f t="shared" si="25"/>
        <v>15.997371655788138</v>
      </c>
      <c r="Y72">
        <v>87.1</v>
      </c>
      <c r="AB72" s="3"/>
    </row>
    <row r="73" spans="1:28">
      <c r="A73" t="s">
        <v>187</v>
      </c>
      <c r="B73" t="s">
        <v>64</v>
      </c>
      <c r="C73" t="s">
        <v>407</v>
      </c>
      <c r="D73" s="1">
        <v>116.9</v>
      </c>
      <c r="E73" s="1">
        <f t="shared" si="14"/>
        <v>93.4</v>
      </c>
      <c r="F73">
        <v>162.19999999999999</v>
      </c>
      <c r="G73" s="1">
        <v>28</v>
      </c>
      <c r="H73">
        <f t="shared" si="15"/>
        <v>68.799999999999983</v>
      </c>
      <c r="I73">
        <f t="shared" si="16"/>
        <v>4.0470588235294107</v>
      </c>
      <c r="J73">
        <f t="shared" si="17"/>
        <v>15.951251027312885</v>
      </c>
      <c r="K73">
        <f t="shared" si="18"/>
        <v>0.94226603101549489</v>
      </c>
      <c r="L73">
        <f t="shared" si="19"/>
        <v>14.239252416541213</v>
      </c>
      <c r="M73" s="4">
        <f t="shared" si="20"/>
        <v>15.030321995237948</v>
      </c>
      <c r="N73">
        <f t="shared" si="21"/>
        <v>18.787902494047437</v>
      </c>
      <c r="O73" cm="1">
        <f t="array" ref="O73:Q73">_xlfn.XLOOKUP(C73, X$2:X$7, AG$2:AI$7)</f>
        <v>57.8</v>
      </c>
      <c r="P73">
        <v>-6.4299999999999996E-2</v>
      </c>
      <c r="Q73">
        <v>0</v>
      </c>
      <c r="R73">
        <f t="shared" si="22"/>
        <v>11.145380743608591</v>
      </c>
      <c r="S73" s="4">
        <f t="shared" si="23"/>
        <v>11.145380743608591</v>
      </c>
      <c r="T73">
        <f t="shared" si="24"/>
        <v>3.8849412516293569</v>
      </c>
      <c r="U73">
        <f t="shared" si="25"/>
        <v>7.6425217504388456</v>
      </c>
      <c r="V73">
        <v>1</v>
      </c>
      <c r="Y73">
        <v>86.199999999999989</v>
      </c>
      <c r="AB73" s="3"/>
    </row>
    <row r="74" spans="1:28">
      <c r="A74" t="s">
        <v>593</v>
      </c>
      <c r="B74" t="s">
        <v>44</v>
      </c>
      <c r="C74" t="s">
        <v>729</v>
      </c>
      <c r="D74" s="1">
        <v>99</v>
      </c>
      <c r="E74" s="1">
        <f t="shared" si="14"/>
        <v>82.5</v>
      </c>
      <c r="F74">
        <v>129.6</v>
      </c>
      <c r="G74" s="1">
        <v>7</v>
      </c>
      <c r="H74">
        <f t="shared" si="15"/>
        <v>47.099999999999994</v>
      </c>
      <c r="I74">
        <f t="shared" si="16"/>
        <v>2.7705882352941171</v>
      </c>
      <c r="J74">
        <f t="shared" si="17"/>
        <v>11.235522142244722</v>
      </c>
      <c r="K74">
        <f t="shared" si="18"/>
        <v>1.0909252297006058</v>
      </c>
      <c r="L74">
        <f t="shared" si="19"/>
        <v>11.612003280474852</v>
      </c>
      <c r="M74" s="4">
        <f t="shared" si="20"/>
        <v>12.257114573834565</v>
      </c>
      <c r="N74">
        <f t="shared" si="21"/>
        <v>15.321393217293206</v>
      </c>
      <c r="O74" cm="1">
        <f t="array" ref="O74:Q74">_xlfn.XLOOKUP(C74, X$2:X$7, AG$2:AI$7)</f>
        <v>55.4</v>
      </c>
      <c r="P74">
        <v>-0.253</v>
      </c>
      <c r="Q74">
        <v>0</v>
      </c>
      <c r="R74">
        <f t="shared" si="22"/>
        <v>11.001327496947896</v>
      </c>
      <c r="S74" s="4">
        <f t="shared" si="23"/>
        <v>11.001327496947896</v>
      </c>
      <c r="T74">
        <f t="shared" si="24"/>
        <v>1.2557870768866692</v>
      </c>
      <c r="U74">
        <f t="shared" si="25"/>
        <v>4.3200657203453101</v>
      </c>
      <c r="Y74">
        <v>85.9</v>
      </c>
      <c r="AB74" s="3"/>
    </row>
    <row r="75" spans="1:28">
      <c r="A75" t="s">
        <v>59</v>
      </c>
      <c r="B75" t="s">
        <v>60</v>
      </c>
      <c r="C75" t="s">
        <v>159</v>
      </c>
      <c r="D75" s="1">
        <v>228</v>
      </c>
      <c r="E75" s="1">
        <f t="shared" si="14"/>
        <v>190</v>
      </c>
      <c r="F75">
        <v>300</v>
      </c>
      <c r="G75" s="1">
        <v>11</v>
      </c>
      <c r="H75">
        <f t="shared" si="15"/>
        <v>110</v>
      </c>
      <c r="I75">
        <f t="shared" si="16"/>
        <v>6.4705882352941178</v>
      </c>
      <c r="J75">
        <f t="shared" si="17"/>
        <v>24.904616468087468</v>
      </c>
      <c r="K75">
        <f t="shared" si="18"/>
        <v>0.57566309754037293</v>
      </c>
      <c r="L75">
        <f t="shared" si="19"/>
        <v>13.582107150701885</v>
      </c>
      <c r="M75" s="4">
        <f t="shared" si="20"/>
        <v>14.336668659074213</v>
      </c>
      <c r="N75">
        <f t="shared" si="21"/>
        <v>17.920835823842765</v>
      </c>
      <c r="O75" cm="1">
        <f t="array" ref="O75:Q75">_xlfn.XLOOKUP(C75, X$2:X$7, AG$2:AI$7)</f>
        <v>56.4</v>
      </c>
      <c r="P75">
        <v>-0.16300000000000001</v>
      </c>
      <c r="Q75">
        <v>0</v>
      </c>
      <c r="R75">
        <f t="shared" si="22"/>
        <v>10.956200062852275</v>
      </c>
      <c r="S75" s="4">
        <f t="shared" si="23"/>
        <v>10.956200062852275</v>
      </c>
      <c r="T75">
        <f t="shared" si="24"/>
        <v>3.3804685962219381</v>
      </c>
      <c r="U75">
        <f t="shared" si="25"/>
        <v>6.9646357609904896</v>
      </c>
      <c r="Y75">
        <v>81.300000000000011</v>
      </c>
      <c r="AB75" s="3"/>
    </row>
    <row r="76" spans="1:28">
      <c r="A76" t="s">
        <v>188</v>
      </c>
      <c r="B76" t="s">
        <v>102</v>
      </c>
      <c r="C76" t="s">
        <v>407</v>
      </c>
      <c r="D76" s="1">
        <v>116.9</v>
      </c>
      <c r="E76" s="1">
        <f t="shared" si="14"/>
        <v>93.4</v>
      </c>
      <c r="F76">
        <v>160.9</v>
      </c>
      <c r="G76" s="1">
        <v>29</v>
      </c>
      <c r="H76">
        <f t="shared" si="15"/>
        <v>67.5</v>
      </c>
      <c r="I76">
        <f t="shared" si="16"/>
        <v>3.9705882352941178</v>
      </c>
      <c r="J76">
        <f t="shared" si="17"/>
        <v>15.668741923599129</v>
      </c>
      <c r="K76">
        <f t="shared" si="18"/>
        <v>0.94226603101549489</v>
      </c>
      <c r="L76">
        <f t="shared" si="19"/>
        <v>13.98706414423185</v>
      </c>
      <c r="M76" s="4">
        <f t="shared" si="20"/>
        <v>14.764123263355842</v>
      </c>
      <c r="N76">
        <f t="shared" si="21"/>
        <v>18.455154079194802</v>
      </c>
      <c r="O76" cm="1">
        <f t="array" ref="O76:Q76">_xlfn.XLOOKUP(C76, X$2:X$7, AG$2:AI$7)</f>
        <v>57.8</v>
      </c>
      <c r="P76">
        <v>-6.4299999999999996E-2</v>
      </c>
      <c r="Q76">
        <v>0</v>
      </c>
      <c r="R76">
        <f t="shared" si="22"/>
        <v>10.451287002722612</v>
      </c>
      <c r="S76" s="4">
        <f t="shared" si="23"/>
        <v>10.451287002722612</v>
      </c>
      <c r="T76">
        <f t="shared" si="24"/>
        <v>4.3128362606332296</v>
      </c>
      <c r="U76">
        <f t="shared" si="25"/>
        <v>8.00386707647219</v>
      </c>
      <c r="Y76">
        <v>77.699999999999989</v>
      </c>
      <c r="AB76" s="3"/>
    </row>
    <row r="77" spans="1:28">
      <c r="A77" t="s">
        <v>459</v>
      </c>
      <c r="B77" t="s">
        <v>50</v>
      </c>
      <c r="C77" t="s">
        <v>586</v>
      </c>
      <c r="D77" s="1">
        <v>107.9</v>
      </c>
      <c r="E77" s="1">
        <f t="shared" si="14"/>
        <v>73</v>
      </c>
      <c r="F77">
        <v>90.7</v>
      </c>
      <c r="G77" s="1">
        <v>52</v>
      </c>
      <c r="H77">
        <f t="shared" si="15"/>
        <v>17.700000000000003</v>
      </c>
      <c r="I77">
        <f t="shared" si="16"/>
        <v>1.0411764705882354</v>
      </c>
      <c r="J77">
        <f t="shared" si="17"/>
        <v>4.8464701044104377</v>
      </c>
      <c r="K77">
        <f t="shared" si="18"/>
        <v>1.0011070456397422</v>
      </c>
      <c r="L77">
        <f t="shared" si="19"/>
        <v>4.5964756117967367</v>
      </c>
      <c r="M77" s="4">
        <f t="shared" si="20"/>
        <v>4.8518353680076665</v>
      </c>
      <c r="N77">
        <f t="shared" si="21"/>
        <v>6.0647942100095831</v>
      </c>
      <c r="O77" cm="1">
        <f t="array" ref="O77:Q77">_xlfn.XLOOKUP(C77, X$2:X$7, AG$2:AI$7)</f>
        <v>5.0900000000000001E-2</v>
      </c>
      <c r="P77">
        <v>-3.9</v>
      </c>
      <c r="Q77">
        <v>73.900000000000006</v>
      </c>
      <c r="R77">
        <f t="shared" si="22"/>
        <v>10.192111200000028</v>
      </c>
      <c r="S77" s="4">
        <f t="shared" si="23"/>
        <v>10.192111200000028</v>
      </c>
      <c r="T77">
        <f t="shared" si="24"/>
        <v>-5.3402758319923613</v>
      </c>
      <c r="U77">
        <f t="shared" si="25"/>
        <v>-4.1273169899904447</v>
      </c>
      <c r="V77">
        <v>1</v>
      </c>
      <c r="Y77">
        <v>77</v>
      </c>
      <c r="AB77" s="3"/>
    </row>
    <row r="78" spans="1:28">
      <c r="A78" t="s">
        <v>189</v>
      </c>
      <c r="B78" t="s">
        <v>98</v>
      </c>
      <c r="C78" t="s">
        <v>407</v>
      </c>
      <c r="D78" s="1">
        <v>116.9</v>
      </c>
      <c r="E78" s="1">
        <f t="shared" si="14"/>
        <v>93.4</v>
      </c>
      <c r="F78">
        <v>160.1</v>
      </c>
      <c r="G78" s="1">
        <v>30</v>
      </c>
      <c r="H78">
        <f t="shared" si="15"/>
        <v>66.699999999999989</v>
      </c>
      <c r="I78">
        <f t="shared" si="16"/>
        <v>3.9235294117647053</v>
      </c>
      <c r="J78">
        <f t="shared" si="17"/>
        <v>15.494890167467581</v>
      </c>
      <c r="K78">
        <f t="shared" si="18"/>
        <v>0.94226603101549489</v>
      </c>
      <c r="L78">
        <f t="shared" si="19"/>
        <v>13.831871361272237</v>
      </c>
      <c r="M78" s="4">
        <f t="shared" si="20"/>
        <v>14.600308659120694</v>
      </c>
      <c r="N78">
        <f t="shared" si="21"/>
        <v>18.250385823900867</v>
      </c>
      <c r="O78" cm="1">
        <f t="array" ref="O78:Q78">_xlfn.XLOOKUP(C78, X$2:X$7, AG$2:AI$7)</f>
        <v>57.8</v>
      </c>
      <c r="P78">
        <v>-6.4299999999999996E-2</v>
      </c>
      <c r="Q78">
        <v>0</v>
      </c>
      <c r="R78">
        <f t="shared" si="22"/>
        <v>9.8004188933533829</v>
      </c>
      <c r="S78" s="4">
        <f t="shared" si="23"/>
        <v>9.8004188933533829</v>
      </c>
      <c r="T78">
        <f t="shared" si="24"/>
        <v>4.7998897657673112</v>
      </c>
      <c r="U78">
        <f t="shared" si="25"/>
        <v>8.4499669305474843</v>
      </c>
      <c r="Y78">
        <v>75.900000000000006</v>
      </c>
      <c r="AB78" s="3"/>
    </row>
    <row r="79" spans="1:28">
      <c r="A79" t="s">
        <v>432</v>
      </c>
      <c r="B79" t="s">
        <v>40</v>
      </c>
      <c r="C79" t="s">
        <v>586</v>
      </c>
      <c r="D79" s="1">
        <v>107.9</v>
      </c>
      <c r="E79" s="1">
        <f t="shared" si="14"/>
        <v>73</v>
      </c>
      <c r="F79">
        <v>167.4</v>
      </c>
      <c r="G79" s="1">
        <v>25</v>
      </c>
      <c r="H79">
        <f t="shared" si="15"/>
        <v>94.4</v>
      </c>
      <c r="I79">
        <f t="shared" si="16"/>
        <v>5.5529411764705889</v>
      </c>
      <c r="J79">
        <f t="shared" si="17"/>
        <v>21.514507223522337</v>
      </c>
      <c r="K79">
        <f t="shared" si="18"/>
        <v>1.0011070456397422</v>
      </c>
      <c r="L79">
        <f t="shared" si="19"/>
        <v>20.404728724675582</v>
      </c>
      <c r="M79" s="4">
        <f t="shared" si="20"/>
        <v>21.538324764935339</v>
      </c>
      <c r="N79">
        <f t="shared" si="21"/>
        <v>26.922905956169174</v>
      </c>
      <c r="O79" cm="1">
        <f t="array" ref="O79:Q79">_xlfn.XLOOKUP(C79, X$2:X$7, AG$2:AI$7)</f>
        <v>5.0900000000000001E-2</v>
      </c>
      <c r="P79">
        <v>-3.9</v>
      </c>
      <c r="Q79">
        <v>73.900000000000006</v>
      </c>
      <c r="R79">
        <f t="shared" si="22"/>
        <v>9.5839875000000063</v>
      </c>
      <c r="S79" s="4">
        <f t="shared" si="23"/>
        <v>9.5839875000000063</v>
      </c>
      <c r="T79">
        <f t="shared" si="24"/>
        <v>11.954337264935333</v>
      </c>
      <c r="U79">
        <f t="shared" si="25"/>
        <v>17.338918456169168</v>
      </c>
      <c r="Y79">
        <v>75.699999999999989</v>
      </c>
      <c r="AB79" s="3"/>
    </row>
    <row r="80" spans="1:28">
      <c r="A80" t="s">
        <v>61</v>
      </c>
      <c r="B80" t="s">
        <v>62</v>
      </c>
      <c r="C80" t="s">
        <v>159</v>
      </c>
      <c r="D80" s="1">
        <v>228</v>
      </c>
      <c r="E80" s="1">
        <f t="shared" si="14"/>
        <v>190</v>
      </c>
      <c r="F80">
        <v>298</v>
      </c>
      <c r="G80" s="1">
        <v>12</v>
      </c>
      <c r="H80">
        <f t="shared" si="15"/>
        <v>108</v>
      </c>
      <c r="I80">
        <f t="shared" si="16"/>
        <v>6.3529411764705879</v>
      </c>
      <c r="J80">
        <f t="shared" si="17"/>
        <v>24.469987077758603</v>
      </c>
      <c r="K80">
        <f t="shared" si="18"/>
        <v>0.57566309754037293</v>
      </c>
      <c r="L80">
        <f t="shared" si="19"/>
        <v>13.345075475957762</v>
      </c>
      <c r="M80" s="4">
        <f t="shared" si="20"/>
        <v>14.086468557955415</v>
      </c>
      <c r="N80">
        <f t="shared" si="21"/>
        <v>17.60808569744427</v>
      </c>
      <c r="O80" cm="1">
        <f t="array" ref="O80:Q80">_xlfn.XLOOKUP(C80, X$2:X$7, AG$2:AI$7)</f>
        <v>56.4</v>
      </c>
      <c r="P80">
        <v>-0.16300000000000001</v>
      </c>
      <c r="Q80">
        <v>0</v>
      </c>
      <c r="R80">
        <f t="shared" si="22"/>
        <v>9.3082910319066769</v>
      </c>
      <c r="S80" s="4">
        <f t="shared" si="23"/>
        <v>9.3082910319066769</v>
      </c>
      <c r="T80">
        <f t="shared" si="24"/>
        <v>4.7781775260487382</v>
      </c>
      <c r="U80">
        <f t="shared" si="25"/>
        <v>8.2997946655375934</v>
      </c>
      <c r="Y80">
        <v>75.199999999999989</v>
      </c>
      <c r="AB80" s="3"/>
    </row>
    <row r="81" spans="1:28">
      <c r="A81" t="s">
        <v>190</v>
      </c>
      <c r="B81" t="s">
        <v>80</v>
      </c>
      <c r="C81" t="s">
        <v>407</v>
      </c>
      <c r="D81" s="1">
        <v>116.9</v>
      </c>
      <c r="E81" s="1">
        <f t="shared" si="14"/>
        <v>93.4</v>
      </c>
      <c r="F81">
        <v>158.9</v>
      </c>
      <c r="G81" s="1">
        <v>31</v>
      </c>
      <c r="H81">
        <f t="shared" si="15"/>
        <v>65.5</v>
      </c>
      <c r="I81">
        <f t="shared" si="16"/>
        <v>3.8529411764705883</v>
      </c>
      <c r="J81">
        <f t="shared" si="17"/>
        <v>15.234112533270265</v>
      </c>
      <c r="K81">
        <f t="shared" si="18"/>
        <v>0.94226603101549489</v>
      </c>
      <c r="L81">
        <f t="shared" si="19"/>
        <v>13.599082186832822</v>
      </c>
      <c r="M81" s="4">
        <f t="shared" si="20"/>
        <v>14.354586752767979</v>
      </c>
      <c r="N81">
        <f t="shared" si="21"/>
        <v>17.943233440959972</v>
      </c>
      <c r="O81" cm="1">
        <f t="array" ref="O81:Q81">_xlfn.XLOOKUP(C81, X$2:X$7, AG$2:AI$7)</f>
        <v>57.8</v>
      </c>
      <c r="P81">
        <v>-6.4299999999999996E-2</v>
      </c>
      <c r="Q81">
        <v>0</v>
      </c>
      <c r="R81">
        <f t="shared" si="22"/>
        <v>9.1900844805215751</v>
      </c>
      <c r="S81" s="4">
        <f t="shared" si="23"/>
        <v>9.1900844805215751</v>
      </c>
      <c r="T81">
        <f t="shared" si="24"/>
        <v>5.1645022722464038</v>
      </c>
      <c r="U81">
        <f t="shared" si="25"/>
        <v>8.7531489604383967</v>
      </c>
      <c r="Y81">
        <v>73.599999999999994</v>
      </c>
      <c r="AB81" s="3"/>
    </row>
    <row r="82" spans="1:28">
      <c r="A82" t="s">
        <v>458</v>
      </c>
      <c r="B82" t="s">
        <v>68</v>
      </c>
      <c r="C82" t="s">
        <v>586</v>
      </c>
      <c r="D82" s="1">
        <v>107.9</v>
      </c>
      <c r="E82" s="1">
        <f t="shared" si="14"/>
        <v>73</v>
      </c>
      <c r="F82">
        <v>91.1</v>
      </c>
      <c r="G82" s="1">
        <v>51</v>
      </c>
      <c r="H82">
        <f t="shared" si="15"/>
        <v>18.099999999999994</v>
      </c>
      <c r="I82">
        <f t="shared" si="16"/>
        <v>1.0647058823529409</v>
      </c>
      <c r="J82">
        <f t="shared" si="17"/>
        <v>4.9333959824762097</v>
      </c>
      <c r="K82">
        <f t="shared" si="18"/>
        <v>1.0011070456397422</v>
      </c>
      <c r="L82">
        <f t="shared" si="19"/>
        <v>4.6789176097778507</v>
      </c>
      <c r="M82" s="4">
        <f t="shared" si="20"/>
        <v>4.9388574769877316</v>
      </c>
      <c r="N82">
        <f t="shared" si="21"/>
        <v>6.1735718462346645</v>
      </c>
      <c r="O82" cm="1">
        <f t="array" ref="O82:Q82">_xlfn.XLOOKUP(C82, X$2:X$7, AG$2:AI$7)</f>
        <v>5.0900000000000001E-2</v>
      </c>
      <c r="P82">
        <v>-3.9</v>
      </c>
      <c r="Q82">
        <v>73.900000000000006</v>
      </c>
      <c r="R82">
        <f t="shared" si="22"/>
        <v>8.6251803000000198</v>
      </c>
      <c r="S82" s="4">
        <f t="shared" si="23"/>
        <v>8.6251803000000198</v>
      </c>
      <c r="T82">
        <f t="shared" si="24"/>
        <v>-3.6863228230122882</v>
      </c>
      <c r="U82">
        <f t="shared" si="25"/>
        <v>-2.4516084537653553</v>
      </c>
      <c r="Y82">
        <v>72.599999999999994</v>
      </c>
      <c r="AB82" s="3"/>
    </row>
    <row r="83" spans="1:28">
      <c r="A83" t="s">
        <v>191</v>
      </c>
      <c r="B83" t="s">
        <v>70</v>
      </c>
      <c r="C83" t="s">
        <v>407</v>
      </c>
      <c r="D83" s="1">
        <v>116.9</v>
      </c>
      <c r="E83" s="1">
        <f t="shared" si="14"/>
        <v>93.4</v>
      </c>
      <c r="F83">
        <v>157.9</v>
      </c>
      <c r="G83" s="1">
        <v>32</v>
      </c>
      <c r="H83">
        <f t="shared" si="15"/>
        <v>64.5</v>
      </c>
      <c r="I83">
        <f t="shared" si="16"/>
        <v>3.7941176470588234</v>
      </c>
      <c r="J83">
        <f t="shared" si="17"/>
        <v>15.016797838105832</v>
      </c>
      <c r="K83">
        <f t="shared" si="18"/>
        <v>0.94226603101549489</v>
      </c>
      <c r="L83">
        <f t="shared" si="19"/>
        <v>13.405091208133308</v>
      </c>
      <c r="M83" s="4">
        <f t="shared" si="20"/>
        <v>14.149818497474048</v>
      </c>
      <c r="N83">
        <f t="shared" si="21"/>
        <v>17.687273121842559</v>
      </c>
      <c r="O83" cm="1">
        <f t="array" ref="O83:Q83">_xlfn.XLOOKUP(C83, X$2:X$7, AG$2:AI$7)</f>
        <v>57.8</v>
      </c>
      <c r="P83">
        <v>-6.4299999999999996E-2</v>
      </c>
      <c r="Q83">
        <v>0</v>
      </c>
      <c r="R83">
        <f t="shared" si="22"/>
        <v>8.6177594731590972</v>
      </c>
      <c r="S83" s="4">
        <f t="shared" si="23"/>
        <v>8.6177594731590972</v>
      </c>
      <c r="T83">
        <f t="shared" si="24"/>
        <v>5.5320590243149503</v>
      </c>
      <c r="U83">
        <f t="shared" si="25"/>
        <v>9.0695136486834613</v>
      </c>
      <c r="Y83">
        <v>68.799999999999983</v>
      </c>
      <c r="AB83" s="3"/>
    </row>
    <row r="84" spans="1:28">
      <c r="A84" t="s">
        <v>594</v>
      </c>
      <c r="B84" t="s">
        <v>58</v>
      </c>
      <c r="C84" t="s">
        <v>729</v>
      </c>
      <c r="D84" s="1">
        <v>99</v>
      </c>
      <c r="E84" s="1">
        <f t="shared" si="14"/>
        <v>82.5</v>
      </c>
      <c r="F84">
        <v>118.8</v>
      </c>
      <c r="G84" s="1">
        <v>8</v>
      </c>
      <c r="H84">
        <f t="shared" si="15"/>
        <v>36.299999999999997</v>
      </c>
      <c r="I84">
        <f t="shared" si="16"/>
        <v>2.1352941176470588</v>
      </c>
      <c r="J84">
        <f t="shared" si="17"/>
        <v>8.8885234344688637</v>
      </c>
      <c r="K84">
        <f t="shared" si="18"/>
        <v>1.0909252297006058</v>
      </c>
      <c r="L84">
        <f t="shared" si="19"/>
        <v>9.1863610763183647</v>
      </c>
      <c r="M84" s="4">
        <f t="shared" si="20"/>
        <v>9.6967144694471621</v>
      </c>
      <c r="N84">
        <f t="shared" si="21"/>
        <v>12.120893086808952</v>
      </c>
      <c r="O84" cm="1">
        <f t="array" ref="O84:Q84">_xlfn.XLOOKUP(C84, X$2:X$7, AG$2:AI$7)</f>
        <v>55.4</v>
      </c>
      <c r="P84">
        <v>-0.253</v>
      </c>
      <c r="Q84">
        <v>0</v>
      </c>
      <c r="R84">
        <f t="shared" si="22"/>
        <v>8.5421774588043746</v>
      </c>
      <c r="S84" s="4">
        <f t="shared" si="23"/>
        <v>8.5421774588043746</v>
      </c>
      <c r="T84">
        <f t="shared" si="24"/>
        <v>1.1545370106427875</v>
      </c>
      <c r="U84">
        <f t="shared" si="25"/>
        <v>3.5787156280045771</v>
      </c>
      <c r="Y84">
        <v>67.5</v>
      </c>
      <c r="AB84" s="3"/>
    </row>
    <row r="85" spans="1:28">
      <c r="A85" t="s">
        <v>192</v>
      </c>
      <c r="B85" t="s">
        <v>84</v>
      </c>
      <c r="C85" t="s">
        <v>407</v>
      </c>
      <c r="D85" s="1">
        <v>116.9</v>
      </c>
      <c r="E85" s="1">
        <f t="shared" si="14"/>
        <v>93.4</v>
      </c>
      <c r="F85">
        <v>155.6</v>
      </c>
      <c r="G85" s="1">
        <v>33</v>
      </c>
      <c r="H85">
        <f t="shared" si="15"/>
        <v>62.199999999999989</v>
      </c>
      <c r="I85">
        <f t="shared" si="16"/>
        <v>3.6588235294117641</v>
      </c>
      <c r="J85">
        <f t="shared" si="17"/>
        <v>14.516974039227639</v>
      </c>
      <c r="K85">
        <f t="shared" si="18"/>
        <v>0.94226603101549489</v>
      </c>
      <c r="L85">
        <f t="shared" si="19"/>
        <v>12.958911957124425</v>
      </c>
      <c r="M85" s="4">
        <f t="shared" si="20"/>
        <v>13.678851510298005</v>
      </c>
      <c r="N85">
        <f t="shared" si="21"/>
        <v>17.098564387872507</v>
      </c>
      <c r="O85" cm="1">
        <f t="array" ref="O85:Q85">_xlfn.XLOOKUP(C85, X$2:X$7, AG$2:AI$7)</f>
        <v>57.8</v>
      </c>
      <c r="P85">
        <v>-6.4299999999999996E-2</v>
      </c>
      <c r="Q85">
        <v>0</v>
      </c>
      <c r="R85">
        <f t="shared" si="22"/>
        <v>8.0810767838565596</v>
      </c>
      <c r="S85" s="4">
        <f t="shared" si="23"/>
        <v>8.0810767838565596</v>
      </c>
      <c r="T85">
        <f t="shared" si="24"/>
        <v>5.597774726441445</v>
      </c>
      <c r="U85">
        <f t="shared" si="25"/>
        <v>9.0174876040159475</v>
      </c>
      <c r="V85">
        <v>1</v>
      </c>
      <c r="Y85">
        <v>66.699999999999989</v>
      </c>
      <c r="AB85" s="3"/>
    </row>
    <row r="86" spans="1:28">
      <c r="A86" t="s">
        <v>433</v>
      </c>
      <c r="B86" t="s">
        <v>42</v>
      </c>
      <c r="C86" t="s">
        <v>586</v>
      </c>
      <c r="D86" s="1">
        <v>107.9</v>
      </c>
      <c r="E86" s="1">
        <f t="shared" si="14"/>
        <v>73</v>
      </c>
      <c r="F86">
        <v>165.7</v>
      </c>
      <c r="G86" s="1">
        <v>26</v>
      </c>
      <c r="H86">
        <f t="shared" si="15"/>
        <v>92.699999999999989</v>
      </c>
      <c r="I86">
        <f t="shared" si="16"/>
        <v>5.4529411764705875</v>
      </c>
      <c r="J86">
        <f t="shared" si="17"/>
        <v>21.145072241742799</v>
      </c>
      <c r="K86">
        <f t="shared" si="18"/>
        <v>1.0011070456397422</v>
      </c>
      <c r="L86">
        <f t="shared" si="19"/>
        <v>20.054350233255843</v>
      </c>
      <c r="M86" s="4">
        <f t="shared" si="20"/>
        <v>21.168480801770055</v>
      </c>
      <c r="N86">
        <f t="shared" si="21"/>
        <v>26.46060100221257</v>
      </c>
      <c r="O86" cm="1">
        <f t="array" ref="O86:Q86">_xlfn.XLOOKUP(C86, X$2:X$7, AG$2:AI$7)</f>
        <v>5.0900000000000001E-2</v>
      </c>
      <c r="P86">
        <v>-3.9</v>
      </c>
      <c r="Q86">
        <v>73.900000000000006</v>
      </c>
      <c r="R86">
        <f t="shared" si="22"/>
        <v>8.0621028000000177</v>
      </c>
      <c r="S86" s="4">
        <f t="shared" si="23"/>
        <v>8.0621028000000177</v>
      </c>
      <c r="T86">
        <f t="shared" si="24"/>
        <v>13.106378001770038</v>
      </c>
      <c r="U86">
        <f t="shared" si="25"/>
        <v>18.398498202212551</v>
      </c>
      <c r="Y86">
        <v>65.5</v>
      </c>
      <c r="AB86" s="3"/>
    </row>
    <row r="87" spans="1:28">
      <c r="A87" t="s">
        <v>63</v>
      </c>
      <c r="B87" t="s">
        <v>64</v>
      </c>
      <c r="C87" t="s">
        <v>159</v>
      </c>
      <c r="D87" s="1">
        <v>228</v>
      </c>
      <c r="E87" s="1">
        <f t="shared" si="14"/>
        <v>190</v>
      </c>
      <c r="F87">
        <v>296.10000000000002</v>
      </c>
      <c r="G87" s="1">
        <v>13</v>
      </c>
      <c r="H87">
        <f t="shared" si="15"/>
        <v>106.10000000000002</v>
      </c>
      <c r="I87">
        <f t="shared" si="16"/>
        <v>6.2411764705882362</v>
      </c>
      <c r="J87">
        <f t="shared" si="17"/>
        <v>24.057089156946187</v>
      </c>
      <c r="K87">
        <f t="shared" si="18"/>
        <v>0.57566309754037293</v>
      </c>
      <c r="L87">
        <f t="shared" si="19"/>
        <v>13.119895384950848</v>
      </c>
      <c r="M87" s="4">
        <f t="shared" si="20"/>
        <v>13.848778461892561</v>
      </c>
      <c r="N87">
        <f t="shared" si="21"/>
        <v>17.310973077365702</v>
      </c>
      <c r="O87" cm="1">
        <f t="array" ref="O87:Q87">_xlfn.XLOOKUP(C87, X$2:X$7, AG$2:AI$7)</f>
        <v>56.4</v>
      </c>
      <c r="P87">
        <v>-0.16300000000000001</v>
      </c>
      <c r="Q87">
        <v>0</v>
      </c>
      <c r="R87">
        <f t="shared" si="22"/>
        <v>7.9082420399064635</v>
      </c>
      <c r="S87" s="4">
        <f t="shared" si="23"/>
        <v>7.9082420399064635</v>
      </c>
      <c r="T87">
        <f t="shared" si="24"/>
        <v>5.9405364219860974</v>
      </c>
      <c r="U87">
        <f t="shared" si="25"/>
        <v>9.4027310374592386</v>
      </c>
      <c r="Y87">
        <v>64.800000000000011</v>
      </c>
      <c r="AB87" s="3"/>
    </row>
    <row r="88" spans="1:28">
      <c r="A88" t="s">
        <v>193</v>
      </c>
      <c r="B88" t="s">
        <v>96</v>
      </c>
      <c r="C88" t="s">
        <v>407</v>
      </c>
      <c r="D88" s="1">
        <v>116.9</v>
      </c>
      <c r="E88" s="1">
        <f t="shared" si="14"/>
        <v>93.4</v>
      </c>
      <c r="F88">
        <v>150.9</v>
      </c>
      <c r="G88" s="1">
        <v>34</v>
      </c>
      <c r="H88">
        <f t="shared" si="15"/>
        <v>57.5</v>
      </c>
      <c r="I88">
        <f t="shared" si="16"/>
        <v>3.3823529411764706</v>
      </c>
      <c r="J88">
        <f t="shared" si="17"/>
        <v>13.495594971954812</v>
      </c>
      <c r="K88">
        <f t="shared" si="18"/>
        <v>0.94226603101549489</v>
      </c>
      <c r="L88">
        <f t="shared" si="19"/>
        <v>12.047154357236712</v>
      </c>
      <c r="M88" s="4">
        <f t="shared" si="20"/>
        <v>12.71644071041653</v>
      </c>
      <c r="N88">
        <f t="shared" si="21"/>
        <v>15.895550888020662</v>
      </c>
      <c r="O88" cm="1">
        <f t="array" ref="O88:Q88">_xlfn.XLOOKUP(C88, X$2:X$7, AG$2:AI$7)</f>
        <v>57.8</v>
      </c>
      <c r="P88">
        <v>-6.4299999999999996E-2</v>
      </c>
      <c r="Q88">
        <v>0</v>
      </c>
      <c r="R88">
        <f t="shared" si="22"/>
        <v>7.5778167387916664</v>
      </c>
      <c r="S88" s="4">
        <f t="shared" si="23"/>
        <v>7.5778167387916664</v>
      </c>
      <c r="T88">
        <f t="shared" si="24"/>
        <v>5.1386239716248632</v>
      </c>
      <c r="U88">
        <f t="shared" si="25"/>
        <v>8.3177341492289951</v>
      </c>
      <c r="Y88">
        <v>64.5</v>
      </c>
      <c r="AB88" s="3"/>
    </row>
    <row r="89" spans="1:28">
      <c r="A89" t="s">
        <v>457</v>
      </c>
      <c r="B89" t="s">
        <v>92</v>
      </c>
      <c r="C89" t="s">
        <v>586</v>
      </c>
      <c r="D89" s="1">
        <v>107.9</v>
      </c>
      <c r="E89" s="1">
        <f t="shared" si="14"/>
        <v>73</v>
      </c>
      <c r="F89">
        <v>96.1</v>
      </c>
      <c r="G89" s="1">
        <v>50</v>
      </c>
      <c r="H89">
        <f t="shared" si="15"/>
        <v>23.099999999999994</v>
      </c>
      <c r="I89">
        <f t="shared" si="16"/>
        <v>1.3588235294117643</v>
      </c>
      <c r="J89">
        <f t="shared" si="17"/>
        <v>6.0199694582983669</v>
      </c>
      <c r="K89">
        <f t="shared" si="18"/>
        <v>1.0011070456397422</v>
      </c>
      <c r="L89">
        <f t="shared" si="19"/>
        <v>5.7094425845417911</v>
      </c>
      <c r="M89" s="4">
        <f t="shared" si="20"/>
        <v>6.0266338392385572</v>
      </c>
      <c r="N89">
        <f t="shared" si="21"/>
        <v>7.5332922990481963</v>
      </c>
      <c r="O89" cm="1">
        <f t="array" ref="O89:Q89">_xlfn.XLOOKUP(C89, X$2:X$7, AG$2:AI$7)</f>
        <v>5.0900000000000001E-2</v>
      </c>
      <c r="P89">
        <v>-3.9</v>
      </c>
      <c r="Q89">
        <v>73.900000000000006</v>
      </c>
      <c r="R89">
        <f t="shared" si="22"/>
        <v>7.1770500000000066</v>
      </c>
      <c r="S89" s="4">
        <f t="shared" si="23"/>
        <v>7.1770500000000066</v>
      </c>
      <c r="T89">
        <f t="shared" si="24"/>
        <v>-1.1504161607614494</v>
      </c>
      <c r="U89">
        <f t="shared" si="25"/>
        <v>0.35624229904818971</v>
      </c>
      <c r="Y89">
        <v>62.400000000000006</v>
      </c>
      <c r="AB89" s="3"/>
    </row>
    <row r="90" spans="1:28">
      <c r="A90" t="s">
        <v>194</v>
      </c>
      <c r="B90" t="s">
        <v>74</v>
      </c>
      <c r="C90" t="s">
        <v>407</v>
      </c>
      <c r="D90" s="1">
        <v>116.9</v>
      </c>
      <c r="E90" s="1">
        <f t="shared" si="14"/>
        <v>93.4</v>
      </c>
      <c r="F90">
        <v>149.5</v>
      </c>
      <c r="G90" s="1">
        <v>35</v>
      </c>
      <c r="H90">
        <f t="shared" si="15"/>
        <v>56.099999999999994</v>
      </c>
      <c r="I90">
        <f t="shared" si="16"/>
        <v>3.3</v>
      </c>
      <c r="J90">
        <f t="shared" si="17"/>
        <v>13.191354398724608</v>
      </c>
      <c r="K90">
        <f t="shared" si="18"/>
        <v>0.94226603101549489</v>
      </c>
      <c r="L90">
        <f t="shared" si="19"/>
        <v>11.775566987057392</v>
      </c>
      <c r="M90" s="4">
        <f t="shared" si="20"/>
        <v>12.429765153005025</v>
      </c>
      <c r="N90">
        <f t="shared" si="21"/>
        <v>15.537206441256281</v>
      </c>
      <c r="O90" cm="1">
        <f t="array" ref="O90:Q90">_xlfn.XLOOKUP(C90, X$2:X$7, AG$2:AI$7)</f>
        <v>57.8</v>
      </c>
      <c r="P90">
        <v>-6.4299999999999996E-2</v>
      </c>
      <c r="Q90">
        <v>0</v>
      </c>
      <c r="R90">
        <f t="shared" si="22"/>
        <v>7.1058978973476439</v>
      </c>
      <c r="S90" s="4">
        <f t="shared" si="23"/>
        <v>7.1058978973476439</v>
      </c>
      <c r="T90">
        <f t="shared" si="24"/>
        <v>5.3238672556573814</v>
      </c>
      <c r="U90">
        <f t="shared" si="25"/>
        <v>8.4313085439086368</v>
      </c>
      <c r="Y90">
        <v>62.199999999999989</v>
      </c>
      <c r="AB90" s="3"/>
    </row>
    <row r="91" spans="1:28">
      <c r="A91" t="s">
        <v>65</v>
      </c>
      <c r="B91" t="s">
        <v>66</v>
      </c>
      <c r="C91" t="s">
        <v>159</v>
      </c>
      <c r="D91" s="1">
        <v>228</v>
      </c>
      <c r="E91" s="1">
        <f t="shared" si="14"/>
        <v>190</v>
      </c>
      <c r="F91">
        <v>280.89999999999998</v>
      </c>
      <c r="G91" s="1">
        <v>14</v>
      </c>
      <c r="H91">
        <f t="shared" si="15"/>
        <v>90.899999999999977</v>
      </c>
      <c r="I91">
        <f t="shared" si="16"/>
        <v>5.3470588235294105</v>
      </c>
      <c r="J91">
        <f t="shared" si="17"/>
        <v>20.753905790446822</v>
      </c>
      <c r="K91">
        <f t="shared" si="18"/>
        <v>0.57566309754037293</v>
      </c>
      <c r="L91">
        <f t="shared" si="19"/>
        <v>11.318454656895506</v>
      </c>
      <c r="M91" s="4">
        <f t="shared" si="20"/>
        <v>11.9472576933897</v>
      </c>
      <c r="N91">
        <f t="shared" si="21"/>
        <v>14.934072116737125</v>
      </c>
      <c r="O91" cm="1">
        <f t="array" ref="O91:Q91">_xlfn.XLOOKUP(C91, X$2:X$7, AG$2:AI$7)</f>
        <v>56.4</v>
      </c>
      <c r="P91">
        <v>-0.16300000000000001</v>
      </c>
      <c r="Q91">
        <v>0</v>
      </c>
      <c r="R91">
        <f t="shared" si="22"/>
        <v>6.7187727529543571</v>
      </c>
      <c r="S91" s="4">
        <f t="shared" si="23"/>
        <v>6.7187727529543571</v>
      </c>
      <c r="T91">
        <f t="shared" si="24"/>
        <v>5.2284849404353428</v>
      </c>
      <c r="U91">
        <f t="shared" si="25"/>
        <v>8.2152993637827691</v>
      </c>
      <c r="Y91">
        <v>61.800000000000011</v>
      </c>
      <c r="AB91" s="3"/>
    </row>
    <row r="92" spans="1:28">
      <c r="A92" t="s">
        <v>195</v>
      </c>
      <c r="B92" t="s">
        <v>42</v>
      </c>
      <c r="C92" t="s">
        <v>407</v>
      </c>
      <c r="D92" s="1">
        <v>116.9</v>
      </c>
      <c r="E92" s="1">
        <f t="shared" si="14"/>
        <v>93.4</v>
      </c>
      <c r="F92">
        <v>146.5</v>
      </c>
      <c r="G92" s="1">
        <v>36</v>
      </c>
      <c r="H92">
        <f t="shared" si="15"/>
        <v>53.099999999999994</v>
      </c>
      <c r="I92">
        <f t="shared" si="16"/>
        <v>3.1235294117647054</v>
      </c>
      <c r="J92">
        <f t="shared" si="17"/>
        <v>12.539410313231311</v>
      </c>
      <c r="K92">
        <f t="shared" si="18"/>
        <v>0.94226603101549489</v>
      </c>
      <c r="L92">
        <f t="shared" si="19"/>
        <v>11.193594050958851</v>
      </c>
      <c r="M92" s="4">
        <f t="shared" si="20"/>
        <v>11.815460387123231</v>
      </c>
      <c r="N92">
        <f t="shared" si="21"/>
        <v>14.769325483904039</v>
      </c>
      <c r="O92" cm="1">
        <f t="array" ref="O92:Q92">_xlfn.XLOOKUP(C92, X$2:X$7, AG$2:AI$7)</f>
        <v>57.8</v>
      </c>
      <c r="P92">
        <v>-6.4299999999999996E-2</v>
      </c>
      <c r="Q92">
        <v>0</v>
      </c>
      <c r="R92">
        <f t="shared" si="22"/>
        <v>6.6633684434523834</v>
      </c>
      <c r="S92" s="4">
        <f t="shared" si="23"/>
        <v>6.6633684434523834</v>
      </c>
      <c r="T92">
        <f t="shared" si="24"/>
        <v>5.1520919436708477</v>
      </c>
      <c r="U92">
        <f t="shared" si="25"/>
        <v>8.1059570404516563</v>
      </c>
      <c r="Y92">
        <v>57.800000000000011</v>
      </c>
      <c r="AB92" s="3"/>
    </row>
    <row r="93" spans="1:28">
      <c r="A93" t="s">
        <v>434</v>
      </c>
      <c r="B93" t="s">
        <v>72</v>
      </c>
      <c r="C93" t="s">
        <v>586</v>
      </c>
      <c r="D93" s="1">
        <v>107.9</v>
      </c>
      <c r="E93" s="1">
        <f t="shared" si="14"/>
        <v>73</v>
      </c>
      <c r="F93">
        <v>164.6</v>
      </c>
      <c r="G93" s="1">
        <v>27</v>
      </c>
      <c r="H93">
        <f t="shared" si="15"/>
        <v>91.6</v>
      </c>
      <c r="I93">
        <f t="shared" si="16"/>
        <v>5.3882352941176466</v>
      </c>
      <c r="J93">
        <f t="shared" si="17"/>
        <v>20.906026077061924</v>
      </c>
      <c r="K93">
        <f t="shared" si="18"/>
        <v>1.0011070456397422</v>
      </c>
      <c r="L93">
        <f t="shared" si="19"/>
        <v>19.827634738807774</v>
      </c>
      <c r="M93" s="4">
        <f t="shared" si="20"/>
        <v>20.929170002074873</v>
      </c>
      <c r="N93">
        <f t="shared" si="21"/>
        <v>26.16146250259359</v>
      </c>
      <c r="O93" cm="1">
        <f t="array" ref="O93:Q93">_xlfn.XLOOKUP(C93, X$2:X$7, AG$2:AI$7)</f>
        <v>5.0900000000000001E-2</v>
      </c>
      <c r="P93">
        <v>-3.9</v>
      </c>
      <c r="Q93">
        <v>73.900000000000006</v>
      </c>
      <c r="R93">
        <f t="shared" si="22"/>
        <v>6.6590187000000078</v>
      </c>
      <c r="S93" s="4">
        <f t="shared" si="23"/>
        <v>6.6590187000000078</v>
      </c>
      <c r="T93">
        <f t="shared" si="24"/>
        <v>14.270151302074865</v>
      </c>
      <c r="U93">
        <f t="shared" si="25"/>
        <v>19.502443802593582</v>
      </c>
      <c r="V93">
        <v>1</v>
      </c>
      <c r="Y93">
        <v>57.5</v>
      </c>
      <c r="AB93" s="3"/>
    </row>
    <row r="94" spans="1:28">
      <c r="A94" t="s">
        <v>595</v>
      </c>
      <c r="B94" t="s">
        <v>80</v>
      </c>
      <c r="C94" t="s">
        <v>729</v>
      </c>
      <c r="D94" s="1">
        <v>99</v>
      </c>
      <c r="E94" s="1">
        <f t="shared" si="14"/>
        <v>82.5</v>
      </c>
      <c r="F94">
        <v>117.6</v>
      </c>
      <c r="G94" s="1">
        <v>9</v>
      </c>
      <c r="H94">
        <f t="shared" si="15"/>
        <v>35.099999999999994</v>
      </c>
      <c r="I94">
        <f t="shared" si="16"/>
        <v>2.0647058823529409</v>
      </c>
      <c r="J94">
        <f t="shared" si="17"/>
        <v>8.6277458002715459</v>
      </c>
      <c r="K94">
        <f t="shared" si="18"/>
        <v>1.0909252297006058</v>
      </c>
      <c r="L94">
        <f t="shared" si="19"/>
        <v>8.9168452758565326</v>
      </c>
      <c r="M94" s="4">
        <f t="shared" si="20"/>
        <v>9.4122255689596734</v>
      </c>
      <c r="N94">
        <f t="shared" si="21"/>
        <v>11.765281961199591</v>
      </c>
      <c r="O94" cm="1">
        <f t="array" ref="O94:Q94">_xlfn.XLOOKUP(C94, X$2:X$7, AG$2:AI$7)</f>
        <v>55.4</v>
      </c>
      <c r="P94">
        <v>-0.253</v>
      </c>
      <c r="Q94">
        <v>0</v>
      </c>
      <c r="R94">
        <f t="shared" si="22"/>
        <v>6.6327264376003123</v>
      </c>
      <c r="S94" s="4">
        <f t="shared" si="23"/>
        <v>6.6327264376003123</v>
      </c>
      <c r="T94">
        <f t="shared" si="24"/>
        <v>2.7794991313593611</v>
      </c>
      <c r="U94">
        <f t="shared" si="25"/>
        <v>5.1325555235992786</v>
      </c>
      <c r="Y94">
        <v>56.099999999999994</v>
      </c>
      <c r="AB94" s="3"/>
    </row>
    <row r="95" spans="1:28">
      <c r="A95" t="s">
        <v>2</v>
      </c>
      <c r="C95" t="s">
        <v>38</v>
      </c>
      <c r="D95" s="1">
        <v>108.4</v>
      </c>
      <c r="E95" s="1">
        <f t="shared" si="14"/>
        <v>90</v>
      </c>
      <c r="F95">
        <v>115.7</v>
      </c>
      <c r="G95" s="1">
        <v>1</v>
      </c>
      <c r="H95">
        <f t="shared" si="15"/>
        <v>25.700000000000003</v>
      </c>
      <c r="I95">
        <f t="shared" si="16"/>
        <v>1.5117647058823531</v>
      </c>
      <c r="J95">
        <f t="shared" si="17"/>
        <v>6.5849876657258903</v>
      </c>
      <c r="K95">
        <f t="shared" si="18"/>
        <v>0.79844160049776736</v>
      </c>
      <c r="L95">
        <f t="shared" si="19"/>
        <v>4.9810055599707512</v>
      </c>
      <c r="M95" s="4">
        <f t="shared" si="20"/>
        <v>5.2577280910802369</v>
      </c>
      <c r="N95">
        <f t="shared" si="21"/>
        <v>6.5721601138502965</v>
      </c>
      <c r="O95" cm="1">
        <f t="array" ref="O95:Q95">_xlfn.XLOOKUP(C95, X$2:X$7, AG$2:AI$7)</f>
        <v>6.77</v>
      </c>
      <c r="P95">
        <v>-0.23300000000000001</v>
      </c>
      <c r="Q95">
        <v>0</v>
      </c>
      <c r="R95">
        <f t="shared" si="22"/>
        <v>6.2584806014504597</v>
      </c>
      <c r="S95" s="4">
        <f t="shared" si="23"/>
        <v>6.2584806014504597</v>
      </c>
      <c r="T95">
        <f t="shared" si="24"/>
        <v>-1.0007525103702228</v>
      </c>
      <c r="U95">
        <f t="shared" si="25"/>
        <v>0.31367951239983682</v>
      </c>
      <c r="Y95">
        <v>53.199999999999989</v>
      </c>
      <c r="AB95" s="3"/>
    </row>
    <row r="96" spans="1:28">
      <c r="A96" t="s">
        <v>196</v>
      </c>
      <c r="B96" t="s">
        <v>80</v>
      </c>
      <c r="C96" t="s">
        <v>407</v>
      </c>
      <c r="D96" s="1">
        <v>116.9</v>
      </c>
      <c r="E96" s="1">
        <f t="shared" si="14"/>
        <v>93.4</v>
      </c>
      <c r="F96">
        <v>146.1</v>
      </c>
      <c r="G96" s="1">
        <v>37</v>
      </c>
      <c r="H96">
        <f t="shared" si="15"/>
        <v>52.699999999999989</v>
      </c>
      <c r="I96">
        <f t="shared" si="16"/>
        <v>3.0999999999999992</v>
      </c>
      <c r="J96">
        <f t="shared" si="17"/>
        <v>12.452484435165537</v>
      </c>
      <c r="K96">
        <f t="shared" si="18"/>
        <v>0.94226603101549489</v>
      </c>
      <c r="L96">
        <f t="shared" si="19"/>
        <v>11.115997659479046</v>
      </c>
      <c r="M96" s="4">
        <f t="shared" si="20"/>
        <v>11.733553085005658</v>
      </c>
      <c r="N96">
        <f t="shared" si="21"/>
        <v>14.666941356257073</v>
      </c>
      <c r="O96" cm="1">
        <f t="array" ref="O96:Q96">_xlfn.XLOOKUP(C96, X$2:X$7, AG$2:AI$7)</f>
        <v>57.8</v>
      </c>
      <c r="P96">
        <v>-6.4299999999999996E-2</v>
      </c>
      <c r="Q96">
        <v>0</v>
      </c>
      <c r="R96">
        <f t="shared" si="22"/>
        <v>6.2483981130336872</v>
      </c>
      <c r="S96" s="4">
        <f t="shared" si="23"/>
        <v>6.2483981130336872</v>
      </c>
      <c r="T96">
        <f t="shared" si="24"/>
        <v>5.485154971971971</v>
      </c>
      <c r="U96">
        <f t="shared" si="25"/>
        <v>8.418543243223386</v>
      </c>
      <c r="V96">
        <v>1</v>
      </c>
      <c r="Y96">
        <v>53.099999999999994</v>
      </c>
      <c r="AB96" s="3"/>
    </row>
    <row r="97" spans="1:28">
      <c r="A97" t="s">
        <v>197</v>
      </c>
      <c r="B97" t="s">
        <v>56</v>
      </c>
      <c r="C97" t="s">
        <v>407</v>
      </c>
      <c r="D97" s="1">
        <v>116.9</v>
      </c>
      <c r="E97" s="1">
        <f t="shared" si="14"/>
        <v>93.4</v>
      </c>
      <c r="F97">
        <v>143.19999999999999</v>
      </c>
      <c r="G97" s="1">
        <v>38</v>
      </c>
      <c r="H97">
        <f t="shared" si="15"/>
        <v>49.799999999999983</v>
      </c>
      <c r="I97">
        <f t="shared" si="16"/>
        <v>2.9294117647058813</v>
      </c>
      <c r="J97">
        <f t="shared" si="17"/>
        <v>11.822271819188686</v>
      </c>
      <c r="K97">
        <f t="shared" si="18"/>
        <v>0.94226603101549489</v>
      </c>
      <c r="L97">
        <f t="shared" si="19"/>
        <v>10.553423821250453</v>
      </c>
      <c r="M97" s="4">
        <f t="shared" si="20"/>
        <v>11.139725144653257</v>
      </c>
      <c r="N97">
        <f t="shared" si="21"/>
        <v>13.924656430816571</v>
      </c>
      <c r="O97" cm="1">
        <f t="array" ref="O97:Q97">_xlfn.XLOOKUP(C97, X$2:X$7, AG$2:AI$7)</f>
        <v>57.8</v>
      </c>
      <c r="P97">
        <v>-6.4299999999999996E-2</v>
      </c>
      <c r="Q97">
        <v>0</v>
      </c>
      <c r="R97">
        <f t="shared" si="22"/>
        <v>5.8592706242031651</v>
      </c>
      <c r="S97" s="4">
        <f t="shared" si="23"/>
        <v>5.8592706242031651</v>
      </c>
      <c r="T97">
        <f t="shared" si="24"/>
        <v>5.2804545204500917</v>
      </c>
      <c r="U97">
        <f t="shared" si="25"/>
        <v>8.0653858066134063</v>
      </c>
      <c r="Y97">
        <v>52.699999999999989</v>
      </c>
      <c r="AB97" s="3"/>
    </row>
    <row r="98" spans="1:28">
      <c r="A98" t="s">
        <v>456</v>
      </c>
      <c r="B98" t="s">
        <v>44</v>
      </c>
      <c r="C98" t="s">
        <v>586</v>
      </c>
      <c r="D98" s="1">
        <v>107.9</v>
      </c>
      <c r="E98" s="1">
        <f t="shared" si="14"/>
        <v>73</v>
      </c>
      <c r="F98">
        <v>96.5</v>
      </c>
      <c r="G98" s="1">
        <v>49</v>
      </c>
      <c r="H98">
        <f t="shared" si="15"/>
        <v>23.5</v>
      </c>
      <c r="I98">
        <f t="shared" si="16"/>
        <v>1.3823529411764706</v>
      </c>
      <c r="J98">
        <f t="shared" si="17"/>
        <v>6.1068953363641407</v>
      </c>
      <c r="K98">
        <f t="shared" si="18"/>
        <v>1.0011070456397422</v>
      </c>
      <c r="L98">
        <f t="shared" si="19"/>
        <v>5.7918845825229068</v>
      </c>
      <c r="M98" s="4">
        <f t="shared" si="20"/>
        <v>6.1136559482186241</v>
      </c>
      <c r="N98">
        <f t="shared" si="21"/>
        <v>7.6420699352732804</v>
      </c>
      <c r="O98" cm="1">
        <f t="array" ref="O98:Q98">_xlfn.XLOOKUP(C98, X$2:X$7, AG$2:AI$7)</f>
        <v>5.0900000000000001E-2</v>
      </c>
      <c r="P98">
        <v>-3.9</v>
      </c>
      <c r="Q98">
        <v>73.900000000000006</v>
      </c>
      <c r="R98">
        <f t="shared" si="22"/>
        <v>5.8477203000000078</v>
      </c>
      <c r="S98" s="4">
        <f t="shared" si="23"/>
        <v>5.8477203000000078</v>
      </c>
      <c r="T98">
        <f t="shared" si="24"/>
        <v>0.26593564821861637</v>
      </c>
      <c r="U98">
        <f t="shared" si="25"/>
        <v>1.7943496352732726</v>
      </c>
      <c r="Y98">
        <v>49.799999999999983</v>
      </c>
      <c r="AB98" s="3"/>
    </row>
    <row r="99" spans="1:28">
      <c r="A99" t="s">
        <v>67</v>
      </c>
      <c r="B99" t="s">
        <v>68</v>
      </c>
      <c r="C99" t="s">
        <v>159</v>
      </c>
      <c r="D99" s="1">
        <v>228</v>
      </c>
      <c r="E99" s="1">
        <f t="shared" si="14"/>
        <v>190</v>
      </c>
      <c r="F99">
        <v>280.7</v>
      </c>
      <c r="G99" s="1">
        <v>15</v>
      </c>
      <c r="H99">
        <f t="shared" si="15"/>
        <v>90.699999999999989</v>
      </c>
      <c r="I99">
        <f t="shared" si="16"/>
        <v>5.3352941176470585</v>
      </c>
      <c r="J99">
        <f t="shared" si="17"/>
        <v>20.710442851413937</v>
      </c>
      <c r="K99">
        <f t="shared" si="18"/>
        <v>0.57566309754037293</v>
      </c>
      <c r="L99">
        <f t="shared" si="19"/>
        <v>11.294751489421094</v>
      </c>
      <c r="M99" s="4">
        <f t="shared" si="20"/>
        <v>11.922237683277821</v>
      </c>
      <c r="N99">
        <f t="shared" si="21"/>
        <v>14.902797104097276</v>
      </c>
      <c r="O99" cm="1">
        <f t="array" ref="O99:Q99">_xlfn.XLOOKUP(C99, X$2:X$7, AG$2:AI$7)</f>
        <v>56.4</v>
      </c>
      <c r="P99">
        <v>-0.16300000000000001</v>
      </c>
      <c r="Q99">
        <v>0</v>
      </c>
      <c r="R99">
        <f t="shared" si="22"/>
        <v>5.7082101278700597</v>
      </c>
      <c r="S99" s="4">
        <f t="shared" si="23"/>
        <v>5.7082101278700597</v>
      </c>
      <c r="T99">
        <f t="shared" si="24"/>
        <v>6.2140275554077613</v>
      </c>
      <c r="U99">
        <f t="shared" si="25"/>
        <v>9.1945869762272174</v>
      </c>
      <c r="Y99">
        <v>48.699999999999989</v>
      </c>
      <c r="AB99" s="3"/>
    </row>
    <row r="100" spans="1:28">
      <c r="A100" t="s">
        <v>198</v>
      </c>
      <c r="B100" t="s">
        <v>60</v>
      </c>
      <c r="C100" t="s">
        <v>407</v>
      </c>
      <c r="D100" s="1">
        <v>116.9</v>
      </c>
      <c r="E100" s="1">
        <f t="shared" si="14"/>
        <v>93.4</v>
      </c>
      <c r="F100">
        <v>142.1</v>
      </c>
      <c r="G100" s="1">
        <v>39</v>
      </c>
      <c r="H100">
        <f t="shared" si="15"/>
        <v>48.699999999999989</v>
      </c>
      <c r="I100">
        <f t="shared" si="16"/>
        <v>2.8647058823529403</v>
      </c>
      <c r="J100">
        <f t="shared" si="17"/>
        <v>11.583225654507812</v>
      </c>
      <c r="K100">
        <f t="shared" si="18"/>
        <v>0.94226603101549489</v>
      </c>
      <c r="L100">
        <f t="shared" si="19"/>
        <v>10.340033744680991</v>
      </c>
      <c r="M100" s="4">
        <f t="shared" si="20"/>
        <v>10.914480063829934</v>
      </c>
      <c r="N100">
        <f t="shared" si="21"/>
        <v>13.643100079787418</v>
      </c>
      <c r="O100" cm="1">
        <f t="array" ref="O100:Q100">_xlfn.XLOOKUP(C100, X$2:X$7, AG$2:AI$7)</f>
        <v>57.8</v>
      </c>
      <c r="P100">
        <v>-6.4299999999999996E-2</v>
      </c>
      <c r="Q100">
        <v>0</v>
      </c>
      <c r="R100">
        <f t="shared" si="22"/>
        <v>5.494376578860777</v>
      </c>
      <c r="S100" s="4">
        <f t="shared" si="23"/>
        <v>5.494376578860777</v>
      </c>
      <c r="T100">
        <f t="shared" si="24"/>
        <v>5.4201034849691574</v>
      </c>
      <c r="U100">
        <f t="shared" si="25"/>
        <v>8.148723500926641</v>
      </c>
      <c r="Y100">
        <v>48.199999999999989</v>
      </c>
      <c r="AB100" s="3"/>
    </row>
    <row r="101" spans="1:28">
      <c r="A101" t="s">
        <v>435</v>
      </c>
      <c r="B101" t="s">
        <v>76</v>
      </c>
      <c r="C101" t="s">
        <v>586</v>
      </c>
      <c r="D101" s="1">
        <v>107.9</v>
      </c>
      <c r="E101" s="1">
        <f t="shared" si="14"/>
        <v>73</v>
      </c>
      <c r="F101">
        <v>157</v>
      </c>
      <c r="G101" s="1">
        <v>28</v>
      </c>
      <c r="H101">
        <f t="shared" si="15"/>
        <v>84</v>
      </c>
      <c r="I101">
        <f t="shared" si="16"/>
        <v>4.9411764705882355</v>
      </c>
      <c r="J101">
        <f t="shared" si="17"/>
        <v>19.25443439381225</v>
      </c>
      <c r="K101">
        <f t="shared" si="18"/>
        <v>1.0011070456397422</v>
      </c>
      <c r="L101">
        <f t="shared" si="19"/>
        <v>18.261236777166587</v>
      </c>
      <c r="M101" s="4">
        <f t="shared" si="20"/>
        <v>19.275749931453621</v>
      </c>
      <c r="N101">
        <f t="shared" si="21"/>
        <v>24.094687414317026</v>
      </c>
      <c r="O101" cm="1">
        <f t="array" ref="O101:Q101">_xlfn.XLOOKUP(C101, X$2:X$7, AG$2:AI$7)</f>
        <v>5.0900000000000001E-2</v>
      </c>
      <c r="P101">
        <v>-3.9</v>
      </c>
      <c r="Q101">
        <v>73.900000000000006</v>
      </c>
      <c r="R101">
        <f t="shared" si="22"/>
        <v>5.3747352000000115</v>
      </c>
      <c r="S101" s="4">
        <f t="shared" si="23"/>
        <v>5.3747352000000115</v>
      </c>
      <c r="T101">
        <f t="shared" si="24"/>
        <v>13.901014731453611</v>
      </c>
      <c r="U101">
        <f t="shared" si="25"/>
        <v>18.719952214317015</v>
      </c>
      <c r="Y101">
        <v>45.400000000000006</v>
      </c>
      <c r="AB101" s="3"/>
    </row>
    <row r="102" spans="1:28">
      <c r="A102" t="s">
        <v>199</v>
      </c>
      <c r="B102" t="s">
        <v>94</v>
      </c>
      <c r="C102" t="s">
        <v>407</v>
      </c>
      <c r="D102" s="1">
        <v>116.9</v>
      </c>
      <c r="E102" s="1">
        <f t="shared" si="14"/>
        <v>93.4</v>
      </c>
      <c r="F102">
        <v>138.80000000000001</v>
      </c>
      <c r="G102" s="1">
        <v>40</v>
      </c>
      <c r="H102">
        <f t="shared" si="15"/>
        <v>45.400000000000006</v>
      </c>
      <c r="I102">
        <f t="shared" si="16"/>
        <v>2.6705882352941179</v>
      </c>
      <c r="J102">
        <f t="shared" si="17"/>
        <v>10.866087160465192</v>
      </c>
      <c r="K102">
        <f t="shared" si="18"/>
        <v>0.94226603101549489</v>
      </c>
      <c r="L102">
        <f t="shared" si="19"/>
        <v>9.6998635149725985</v>
      </c>
      <c r="M102" s="4">
        <f t="shared" si="20"/>
        <v>10.238744821359965</v>
      </c>
      <c r="N102">
        <f t="shared" si="21"/>
        <v>12.798431026699957</v>
      </c>
      <c r="O102" cm="1">
        <f t="array" ref="O102:Q102">_xlfn.XLOOKUP(C102, X$2:X$7, AG$2:AI$7)</f>
        <v>57.8</v>
      </c>
      <c r="P102">
        <v>-6.4299999999999996E-2</v>
      </c>
      <c r="Q102">
        <v>0</v>
      </c>
      <c r="R102">
        <f t="shared" si="22"/>
        <v>5.1522068063615514</v>
      </c>
      <c r="S102" s="4">
        <f t="shared" si="23"/>
        <v>5.1522068063615514</v>
      </c>
      <c r="T102">
        <f t="shared" si="24"/>
        <v>5.0865380149984141</v>
      </c>
      <c r="U102">
        <f t="shared" si="25"/>
        <v>7.6462242203384054</v>
      </c>
      <c r="Y102">
        <v>44.5</v>
      </c>
      <c r="AB102" s="3"/>
    </row>
    <row r="103" spans="1:28">
      <c r="A103" t="s">
        <v>596</v>
      </c>
      <c r="B103" t="s">
        <v>92</v>
      </c>
      <c r="C103" t="s">
        <v>729</v>
      </c>
      <c r="D103" s="1">
        <v>99</v>
      </c>
      <c r="E103" s="1">
        <f t="shared" si="14"/>
        <v>82.5</v>
      </c>
      <c r="F103">
        <v>109.6</v>
      </c>
      <c r="G103" s="1">
        <v>10</v>
      </c>
      <c r="H103">
        <f t="shared" si="15"/>
        <v>27.099999999999994</v>
      </c>
      <c r="I103">
        <f t="shared" si="16"/>
        <v>1.5941176470588232</v>
      </c>
      <c r="J103">
        <f t="shared" si="17"/>
        <v>6.8892282389560933</v>
      </c>
      <c r="K103">
        <f t="shared" si="18"/>
        <v>1.0909252297006058</v>
      </c>
      <c r="L103">
        <f t="shared" si="19"/>
        <v>7.1200732727776508</v>
      </c>
      <c r="M103" s="4">
        <f t="shared" si="20"/>
        <v>7.5156328990430756</v>
      </c>
      <c r="N103">
        <f t="shared" si="21"/>
        <v>9.3945411238038439</v>
      </c>
      <c r="O103" cm="1">
        <f t="array" ref="O103:Q103">_xlfn.XLOOKUP(C103, X$2:X$7, AG$2:AI$7)</f>
        <v>55.4</v>
      </c>
      <c r="P103">
        <v>-0.253</v>
      </c>
      <c r="Q103">
        <v>0</v>
      </c>
      <c r="R103">
        <f t="shared" si="22"/>
        <v>5.150099047719821</v>
      </c>
      <c r="S103" s="4">
        <f t="shared" si="23"/>
        <v>5.150099047719821</v>
      </c>
      <c r="T103">
        <f t="shared" si="24"/>
        <v>2.3655338513232547</v>
      </c>
      <c r="U103">
        <f t="shared" si="25"/>
        <v>4.2444420760840229</v>
      </c>
      <c r="Y103">
        <v>43.199999999999989</v>
      </c>
      <c r="AB103" s="3"/>
    </row>
    <row r="104" spans="1:28">
      <c r="A104" t="s">
        <v>3</v>
      </c>
      <c r="C104" t="s">
        <v>38</v>
      </c>
      <c r="D104" s="1">
        <v>108.4</v>
      </c>
      <c r="E104" s="1">
        <f t="shared" si="14"/>
        <v>90</v>
      </c>
      <c r="F104">
        <v>114.6</v>
      </c>
      <c r="G104" s="1">
        <v>2</v>
      </c>
      <c r="H104">
        <f t="shared" si="15"/>
        <v>24.599999999999994</v>
      </c>
      <c r="I104">
        <f t="shared" si="16"/>
        <v>1.4470588235294115</v>
      </c>
      <c r="J104">
        <f t="shared" si="17"/>
        <v>6.3459415010450142</v>
      </c>
      <c r="K104">
        <f t="shared" si="18"/>
        <v>0.79844160049776736</v>
      </c>
      <c r="L104">
        <f t="shared" si="19"/>
        <v>4.8001866525090806</v>
      </c>
      <c r="M104" s="4">
        <f t="shared" si="20"/>
        <v>5.066863688759585</v>
      </c>
      <c r="N104">
        <f t="shared" si="21"/>
        <v>6.3335796109494815</v>
      </c>
      <c r="O104" cm="1">
        <f t="array" ref="O104:Q104">_xlfn.XLOOKUP(C104, X$2:X$7, AG$2:AI$7)</f>
        <v>6.77</v>
      </c>
      <c r="P104">
        <v>-0.23300000000000001</v>
      </c>
      <c r="Q104">
        <v>0</v>
      </c>
      <c r="R104">
        <f t="shared" si="22"/>
        <v>4.9576777732715787</v>
      </c>
      <c r="S104" s="4">
        <f t="shared" si="23"/>
        <v>4.9576777732715787</v>
      </c>
      <c r="T104">
        <f t="shared" si="24"/>
        <v>0.10918591548800638</v>
      </c>
      <c r="U104">
        <f t="shared" si="25"/>
        <v>1.3759018376779029</v>
      </c>
      <c r="Y104">
        <v>42.900000000000006</v>
      </c>
      <c r="AB104" s="3"/>
    </row>
    <row r="105" spans="1:28">
      <c r="A105" t="s">
        <v>69</v>
      </c>
      <c r="B105" t="s">
        <v>70</v>
      </c>
      <c r="C105" t="s">
        <v>159</v>
      </c>
      <c r="D105" s="1">
        <v>228</v>
      </c>
      <c r="E105" s="1">
        <f t="shared" si="14"/>
        <v>190</v>
      </c>
      <c r="F105">
        <v>279.60000000000002</v>
      </c>
      <c r="G105" s="1">
        <v>16</v>
      </c>
      <c r="H105">
        <f t="shared" si="15"/>
        <v>89.600000000000023</v>
      </c>
      <c r="I105">
        <f t="shared" si="16"/>
        <v>5.2705882352941194</v>
      </c>
      <c r="J105">
        <f t="shared" si="17"/>
        <v>20.471396686733069</v>
      </c>
      <c r="K105">
        <f t="shared" si="18"/>
        <v>0.57566309754037293</v>
      </c>
      <c r="L105">
        <f t="shared" si="19"/>
        <v>11.164384068311827</v>
      </c>
      <c r="M105" s="4">
        <f t="shared" si="20"/>
        <v>11.784627627662486</v>
      </c>
      <c r="N105">
        <f t="shared" si="21"/>
        <v>14.730784534578108</v>
      </c>
      <c r="O105" cm="1">
        <f t="array" ref="O105:Q105">_xlfn.XLOOKUP(C105, X$2:X$7, AG$2:AI$7)</f>
        <v>56.4</v>
      </c>
      <c r="P105">
        <v>-0.16300000000000001</v>
      </c>
      <c r="Q105">
        <v>0</v>
      </c>
      <c r="R105">
        <f t="shared" si="22"/>
        <v>4.849645026257325</v>
      </c>
      <c r="S105" s="4">
        <f t="shared" si="23"/>
        <v>4.849645026257325</v>
      </c>
      <c r="T105">
        <f t="shared" si="24"/>
        <v>6.934982601405161</v>
      </c>
      <c r="U105">
        <f t="shared" si="25"/>
        <v>9.881139508320782</v>
      </c>
      <c r="Y105">
        <v>39.099999999999994</v>
      </c>
      <c r="AB105" s="3"/>
    </row>
    <row r="106" spans="1:28">
      <c r="A106" t="s">
        <v>200</v>
      </c>
      <c r="B106" t="s">
        <v>76</v>
      </c>
      <c r="C106" t="s">
        <v>407</v>
      </c>
      <c r="D106" s="1">
        <v>116.9</v>
      </c>
      <c r="E106" s="1">
        <f t="shared" si="14"/>
        <v>93.4</v>
      </c>
      <c r="F106">
        <v>137.9</v>
      </c>
      <c r="G106" s="1">
        <v>41</v>
      </c>
      <c r="H106">
        <f t="shared" si="15"/>
        <v>44.5</v>
      </c>
      <c r="I106">
        <f t="shared" si="16"/>
        <v>2.6176470588235294</v>
      </c>
      <c r="J106">
        <f t="shared" si="17"/>
        <v>10.670503934817203</v>
      </c>
      <c r="K106">
        <f t="shared" si="18"/>
        <v>0.94226603101549489</v>
      </c>
      <c r="L106">
        <f t="shared" si="19"/>
        <v>9.5252716341430368</v>
      </c>
      <c r="M106" s="4">
        <f t="shared" si="20"/>
        <v>10.054453391595427</v>
      </c>
      <c r="N106">
        <f t="shared" si="21"/>
        <v>12.568066739494284</v>
      </c>
      <c r="O106" cm="1">
        <f t="array" ref="O106:Q106">_xlfn.XLOOKUP(C106, X$2:X$7, AG$2:AI$7)</f>
        <v>57.8</v>
      </c>
      <c r="P106">
        <v>-6.4299999999999996E-2</v>
      </c>
      <c r="Q106">
        <v>0</v>
      </c>
      <c r="R106">
        <f t="shared" si="22"/>
        <v>4.8313461217145566</v>
      </c>
      <c r="S106" s="4">
        <f t="shared" si="23"/>
        <v>4.8313461217145566</v>
      </c>
      <c r="T106">
        <f t="shared" si="24"/>
        <v>5.2231072698808703</v>
      </c>
      <c r="U106">
        <f t="shared" si="25"/>
        <v>7.7367206177797279</v>
      </c>
      <c r="V106">
        <v>1</v>
      </c>
      <c r="Y106">
        <v>38.299999999999983</v>
      </c>
      <c r="AB106" s="3"/>
    </row>
    <row r="107" spans="1:28">
      <c r="A107" t="s">
        <v>455</v>
      </c>
      <c r="B107" t="s">
        <v>86</v>
      </c>
      <c r="C107" t="s">
        <v>586</v>
      </c>
      <c r="D107" s="1">
        <v>107.9</v>
      </c>
      <c r="E107" s="1">
        <f t="shared" si="14"/>
        <v>73</v>
      </c>
      <c r="F107">
        <v>96.8</v>
      </c>
      <c r="G107" s="1">
        <v>48</v>
      </c>
      <c r="H107">
        <f t="shared" si="15"/>
        <v>23.799999999999997</v>
      </c>
      <c r="I107">
        <f t="shared" si="16"/>
        <v>1.4</v>
      </c>
      <c r="J107">
        <f t="shared" si="17"/>
        <v>6.1720897449134702</v>
      </c>
      <c r="K107">
        <f t="shared" si="18"/>
        <v>1.0011070456397422</v>
      </c>
      <c r="L107">
        <f t="shared" si="19"/>
        <v>5.8537160810087441</v>
      </c>
      <c r="M107" s="4">
        <f t="shared" si="20"/>
        <v>6.1789225299536739</v>
      </c>
      <c r="N107">
        <f t="shared" si="21"/>
        <v>7.7236531624420923</v>
      </c>
      <c r="O107" cm="1">
        <f t="array" ref="O107:Q107">_xlfn.XLOOKUP(C107, X$2:X$7, AG$2:AI$7)</f>
        <v>5.0900000000000001E-2</v>
      </c>
      <c r="P107">
        <v>-3.9</v>
      </c>
      <c r="Q107">
        <v>73.900000000000006</v>
      </c>
      <c r="R107">
        <f t="shared" si="22"/>
        <v>4.6371912000000224</v>
      </c>
      <c r="S107" s="4">
        <f t="shared" si="23"/>
        <v>4.6371912000000224</v>
      </c>
      <c r="T107">
        <f t="shared" si="24"/>
        <v>1.5417313299536515</v>
      </c>
      <c r="U107">
        <f t="shared" si="25"/>
        <v>3.0864619624420699</v>
      </c>
      <c r="V107">
        <v>1</v>
      </c>
      <c r="Y107">
        <v>37.900000000000006</v>
      </c>
      <c r="AB107" s="3"/>
    </row>
    <row r="108" spans="1:28">
      <c r="A108" t="s">
        <v>201</v>
      </c>
      <c r="B108" t="s">
        <v>70</v>
      </c>
      <c r="C108" t="s">
        <v>407</v>
      </c>
      <c r="D108" s="1">
        <v>116.9</v>
      </c>
      <c r="E108" s="1">
        <f t="shared" si="14"/>
        <v>93.4</v>
      </c>
      <c r="F108">
        <v>136.6</v>
      </c>
      <c r="G108" s="1">
        <v>42</v>
      </c>
      <c r="H108">
        <f t="shared" si="15"/>
        <v>43.199999999999989</v>
      </c>
      <c r="I108">
        <f t="shared" si="16"/>
        <v>2.5411764705882347</v>
      </c>
      <c r="J108">
        <f t="shared" si="17"/>
        <v>10.387994831103439</v>
      </c>
      <c r="K108">
        <f t="shared" si="18"/>
        <v>0.94226603101549489</v>
      </c>
      <c r="L108">
        <f t="shared" si="19"/>
        <v>9.273083361833665</v>
      </c>
      <c r="M108" s="4">
        <f t="shared" si="20"/>
        <v>9.7882546597133135</v>
      </c>
      <c r="N108">
        <f t="shared" si="21"/>
        <v>12.235318324641643</v>
      </c>
      <c r="O108" cm="1">
        <f t="array" ref="O108:Q108">_xlfn.XLOOKUP(C108, X$2:X$7, AG$2:AI$7)</f>
        <v>57.8</v>
      </c>
      <c r="P108">
        <v>-6.4299999999999996E-2</v>
      </c>
      <c r="Q108">
        <v>0</v>
      </c>
      <c r="R108">
        <f t="shared" si="22"/>
        <v>4.530467472498481</v>
      </c>
      <c r="S108" s="4">
        <f t="shared" si="23"/>
        <v>4.530467472498481</v>
      </c>
      <c r="T108">
        <f t="shared" si="24"/>
        <v>5.2577871872148325</v>
      </c>
      <c r="U108">
        <f t="shared" si="25"/>
        <v>7.7048508521431618</v>
      </c>
      <c r="Y108">
        <v>34.199999999999989</v>
      </c>
      <c r="AB108" s="3"/>
    </row>
    <row r="109" spans="1:28">
      <c r="A109" t="s">
        <v>202</v>
      </c>
      <c r="B109" t="s">
        <v>90</v>
      </c>
      <c r="C109" t="s">
        <v>407</v>
      </c>
      <c r="D109" s="1">
        <v>116.9</v>
      </c>
      <c r="E109" s="1">
        <f t="shared" si="14"/>
        <v>93.4</v>
      </c>
      <c r="F109">
        <v>136.30000000000001</v>
      </c>
      <c r="G109" s="1">
        <v>43</v>
      </c>
      <c r="H109">
        <f t="shared" si="15"/>
        <v>42.900000000000006</v>
      </c>
      <c r="I109">
        <f t="shared" si="16"/>
        <v>2.5235294117647062</v>
      </c>
      <c r="J109">
        <f t="shared" si="17"/>
        <v>10.322800422554113</v>
      </c>
      <c r="K109">
        <f t="shared" si="18"/>
        <v>0.94226603101549489</v>
      </c>
      <c r="L109">
        <f t="shared" si="19"/>
        <v>9.2148860682238158</v>
      </c>
      <c r="M109" s="4">
        <f t="shared" si="20"/>
        <v>9.7268241831251387</v>
      </c>
      <c r="N109">
        <f t="shared" si="21"/>
        <v>12.158530228906423</v>
      </c>
      <c r="O109" cm="1">
        <f t="array" ref="O109:Q109">_xlfn.XLOOKUP(C109, X$2:X$7, AG$2:AI$7)</f>
        <v>57.8</v>
      </c>
      <c r="P109">
        <v>-6.4299999999999996E-2</v>
      </c>
      <c r="Q109">
        <v>0</v>
      </c>
      <c r="R109">
        <f t="shared" si="22"/>
        <v>4.2483264502860276</v>
      </c>
      <c r="S109" s="4">
        <f t="shared" si="23"/>
        <v>4.2483264502860276</v>
      </c>
      <c r="T109">
        <f t="shared" si="24"/>
        <v>5.4784977328391111</v>
      </c>
      <c r="U109">
        <f t="shared" si="25"/>
        <v>7.9102037786203958</v>
      </c>
      <c r="Y109">
        <v>33.199999999999989</v>
      </c>
      <c r="AB109" s="3"/>
    </row>
    <row r="110" spans="1:28">
      <c r="A110" t="s">
        <v>436</v>
      </c>
      <c r="B110" t="s">
        <v>70</v>
      </c>
      <c r="C110" t="s">
        <v>586</v>
      </c>
      <c r="D110" s="1">
        <v>107.9</v>
      </c>
      <c r="E110" s="1">
        <f t="shared" si="14"/>
        <v>73</v>
      </c>
      <c r="F110">
        <v>153.6</v>
      </c>
      <c r="G110" s="1">
        <v>29</v>
      </c>
      <c r="H110">
        <f t="shared" si="15"/>
        <v>80.599999999999994</v>
      </c>
      <c r="I110">
        <f t="shared" si="16"/>
        <v>4.7411764705882353</v>
      </c>
      <c r="J110">
        <f t="shared" si="17"/>
        <v>18.515564430253182</v>
      </c>
      <c r="K110">
        <f t="shared" si="18"/>
        <v>1.0011070456397422</v>
      </c>
      <c r="L110">
        <f t="shared" si="19"/>
        <v>17.560479794327108</v>
      </c>
      <c r="M110" s="4">
        <f t="shared" si="20"/>
        <v>18.53606200512306</v>
      </c>
      <c r="N110">
        <f t="shared" si="21"/>
        <v>23.170077506403825</v>
      </c>
      <c r="O110" cm="1">
        <f t="array" ref="O110:Q110">_xlfn.XLOOKUP(C110, X$2:X$7, AG$2:AI$7)</f>
        <v>5.0900000000000001E-2</v>
      </c>
      <c r="P110">
        <v>-3.9</v>
      </c>
      <c r="Q110">
        <v>73.900000000000006</v>
      </c>
      <c r="R110">
        <f t="shared" si="22"/>
        <v>4.2092523000000117</v>
      </c>
      <c r="S110" s="4">
        <f t="shared" si="23"/>
        <v>4.2092523000000117</v>
      </c>
      <c r="T110">
        <f t="shared" si="24"/>
        <v>14.326809705123049</v>
      </c>
      <c r="U110">
        <f t="shared" si="25"/>
        <v>18.960825206403811</v>
      </c>
      <c r="Y110">
        <v>33.199999999999989</v>
      </c>
      <c r="AB110" s="3"/>
    </row>
    <row r="111" spans="1:28">
      <c r="A111" t="s">
        <v>71</v>
      </c>
      <c r="B111" t="s">
        <v>72</v>
      </c>
      <c r="C111" t="s">
        <v>159</v>
      </c>
      <c r="D111" s="1">
        <v>228</v>
      </c>
      <c r="E111" s="1">
        <f t="shared" si="14"/>
        <v>190</v>
      </c>
      <c r="F111">
        <v>276.2</v>
      </c>
      <c r="G111" s="1">
        <v>17</v>
      </c>
      <c r="H111">
        <f t="shared" si="15"/>
        <v>86.199999999999989</v>
      </c>
      <c r="I111">
        <f t="shared" si="16"/>
        <v>5.0705882352941174</v>
      </c>
      <c r="J111">
        <f t="shared" si="17"/>
        <v>19.732526723173997</v>
      </c>
      <c r="K111">
        <f t="shared" si="18"/>
        <v>0.57566309754037293</v>
      </c>
      <c r="L111">
        <f t="shared" si="19"/>
        <v>10.761430221246815</v>
      </c>
      <c r="M111" s="4">
        <f t="shared" si="20"/>
        <v>11.359287455760528</v>
      </c>
      <c r="N111">
        <f t="shared" si="21"/>
        <v>14.199109319700661</v>
      </c>
      <c r="O111" cm="1">
        <f t="array" ref="O111:Q111">_xlfn.XLOOKUP(C111, X$2:X$7, AG$2:AI$7)</f>
        <v>56.4</v>
      </c>
      <c r="P111">
        <v>-0.16300000000000001</v>
      </c>
      <c r="Q111">
        <v>0</v>
      </c>
      <c r="R111">
        <f t="shared" si="22"/>
        <v>4.1202156812468687</v>
      </c>
      <c r="S111" s="4">
        <f t="shared" si="23"/>
        <v>4.1202156812468687</v>
      </c>
      <c r="T111">
        <f t="shared" si="24"/>
        <v>7.2390717745136595</v>
      </c>
      <c r="U111">
        <f t="shared" si="25"/>
        <v>10.078893638453792</v>
      </c>
      <c r="Y111">
        <v>32.5</v>
      </c>
      <c r="AB111" s="3"/>
    </row>
    <row r="112" spans="1:28">
      <c r="A112" t="s">
        <v>597</v>
      </c>
      <c r="B112" t="s">
        <v>54</v>
      </c>
      <c r="C112" t="s">
        <v>729</v>
      </c>
      <c r="D112" s="1">
        <v>99</v>
      </c>
      <c r="E112" s="1">
        <f t="shared" si="14"/>
        <v>82.5</v>
      </c>
      <c r="F112">
        <v>109.4</v>
      </c>
      <c r="G112" s="1">
        <v>11</v>
      </c>
      <c r="H112">
        <f t="shared" si="15"/>
        <v>26.900000000000006</v>
      </c>
      <c r="I112">
        <f t="shared" si="16"/>
        <v>1.582352941176471</v>
      </c>
      <c r="J112">
        <f t="shared" si="17"/>
        <v>6.845765299923209</v>
      </c>
      <c r="K112">
        <f t="shared" si="18"/>
        <v>1.0909252297006058</v>
      </c>
      <c r="L112">
        <f t="shared" si="19"/>
        <v>7.0751539727006811</v>
      </c>
      <c r="M112" s="4">
        <f t="shared" si="20"/>
        <v>7.4682180822951629</v>
      </c>
      <c r="N112">
        <f t="shared" si="21"/>
        <v>9.3352726028689546</v>
      </c>
      <c r="O112" cm="1">
        <f t="array" ref="O112:Q112">_xlfn.XLOOKUP(C112, X$2:X$7, AG$2:AI$7)</f>
        <v>55.4</v>
      </c>
      <c r="P112">
        <v>-0.253</v>
      </c>
      <c r="Q112">
        <v>0</v>
      </c>
      <c r="R112">
        <f t="shared" si="22"/>
        <v>3.9988864987654598</v>
      </c>
      <c r="S112" s="4">
        <f t="shared" si="23"/>
        <v>3.9988864987654598</v>
      </c>
      <c r="T112">
        <f t="shared" si="24"/>
        <v>3.4693315835297032</v>
      </c>
      <c r="U112">
        <f t="shared" si="25"/>
        <v>5.3363861041034948</v>
      </c>
      <c r="V112">
        <v>1</v>
      </c>
      <c r="Y112">
        <v>31.799999999999997</v>
      </c>
      <c r="AB112" s="3"/>
    </row>
    <row r="113" spans="1:28">
      <c r="A113" t="s">
        <v>203</v>
      </c>
      <c r="B113" t="s">
        <v>64</v>
      </c>
      <c r="C113" t="s">
        <v>407</v>
      </c>
      <c r="D113" s="1">
        <v>116.9</v>
      </c>
      <c r="E113" s="1">
        <f t="shared" si="14"/>
        <v>93.4</v>
      </c>
      <c r="F113">
        <v>132.5</v>
      </c>
      <c r="G113" s="1">
        <v>44</v>
      </c>
      <c r="H113">
        <f t="shared" si="15"/>
        <v>39.099999999999994</v>
      </c>
      <c r="I113">
        <f t="shared" si="16"/>
        <v>2.2999999999999998</v>
      </c>
      <c r="J113">
        <f t="shared" si="17"/>
        <v>9.4970045809292714</v>
      </c>
      <c r="K113">
        <f t="shared" si="18"/>
        <v>0.94226603101549489</v>
      </c>
      <c r="L113">
        <f t="shared" si="19"/>
        <v>8.4777203491656596</v>
      </c>
      <c r="M113" s="4">
        <f t="shared" si="20"/>
        <v>8.948704813008197</v>
      </c>
      <c r="N113">
        <f t="shared" si="21"/>
        <v>11.185881016260247</v>
      </c>
      <c r="O113" cm="1">
        <f t="array" ref="O113:Q113">_xlfn.XLOOKUP(C113, X$2:X$7, AG$2:AI$7)</f>
        <v>57.8</v>
      </c>
      <c r="P113">
        <v>-6.4299999999999996E-2</v>
      </c>
      <c r="Q113">
        <v>0</v>
      </c>
      <c r="R113">
        <f t="shared" si="22"/>
        <v>3.9837561438768136</v>
      </c>
      <c r="S113" s="4">
        <f t="shared" si="23"/>
        <v>3.9837561438768136</v>
      </c>
      <c r="T113">
        <f t="shared" si="24"/>
        <v>4.9649486691313829</v>
      </c>
      <c r="U113">
        <f t="shared" si="25"/>
        <v>7.2021248723834326</v>
      </c>
      <c r="Y113">
        <v>30.699999999999989</v>
      </c>
      <c r="AB113" s="3"/>
    </row>
    <row r="114" spans="1:28">
      <c r="A114" t="s">
        <v>4</v>
      </c>
      <c r="C114" t="s">
        <v>38</v>
      </c>
      <c r="D114" s="1">
        <v>108.4</v>
      </c>
      <c r="E114" s="1">
        <f t="shared" si="14"/>
        <v>90</v>
      </c>
      <c r="F114">
        <v>110.8</v>
      </c>
      <c r="G114" s="1">
        <v>3</v>
      </c>
      <c r="H114">
        <f t="shared" si="15"/>
        <v>20.799999999999997</v>
      </c>
      <c r="I114">
        <f t="shared" si="16"/>
        <v>1.2235294117647058</v>
      </c>
      <c r="J114">
        <f t="shared" si="17"/>
        <v>5.5201456594201748</v>
      </c>
      <c r="K114">
        <f t="shared" si="18"/>
        <v>0.79844160049776736</v>
      </c>
      <c r="L114">
        <f t="shared" si="19"/>
        <v>4.1755395176414973</v>
      </c>
      <c r="M114" s="4">
        <f t="shared" si="20"/>
        <v>4.4075139352882475</v>
      </c>
      <c r="N114">
        <f t="shared" si="21"/>
        <v>5.5093924191103092</v>
      </c>
      <c r="O114" cm="1">
        <f t="array" ref="O114:Q114">_xlfn.XLOOKUP(C114, X$2:X$7, AG$2:AI$7)</f>
        <v>6.77</v>
      </c>
      <c r="P114">
        <v>-0.23300000000000001</v>
      </c>
      <c r="Q114">
        <v>0</v>
      </c>
      <c r="R114">
        <f t="shared" si="22"/>
        <v>3.9272421644791451</v>
      </c>
      <c r="S114" s="4">
        <f t="shared" si="23"/>
        <v>3.9272421644791451</v>
      </c>
      <c r="T114">
        <f t="shared" si="24"/>
        <v>0.48027177080910244</v>
      </c>
      <c r="U114">
        <f t="shared" si="25"/>
        <v>1.5821502546311641</v>
      </c>
      <c r="Y114">
        <v>28.699999999999989</v>
      </c>
      <c r="AB114" s="3"/>
    </row>
    <row r="115" spans="1:28">
      <c r="A115" t="s">
        <v>204</v>
      </c>
      <c r="B115" t="s">
        <v>46</v>
      </c>
      <c r="C115" t="s">
        <v>407</v>
      </c>
      <c r="D115" s="1">
        <v>116.9</v>
      </c>
      <c r="E115" s="1">
        <f t="shared" si="14"/>
        <v>93.4</v>
      </c>
      <c r="F115">
        <v>131.69999999999999</v>
      </c>
      <c r="G115" s="1">
        <v>45</v>
      </c>
      <c r="H115">
        <f t="shared" si="15"/>
        <v>38.299999999999983</v>
      </c>
      <c r="I115">
        <f t="shared" si="16"/>
        <v>2.2529411764705873</v>
      </c>
      <c r="J115">
        <f t="shared" si="17"/>
        <v>9.3231528247977238</v>
      </c>
      <c r="K115">
        <f t="shared" si="18"/>
        <v>0.94226603101549489</v>
      </c>
      <c r="L115">
        <f t="shared" si="19"/>
        <v>8.3225275662060483</v>
      </c>
      <c r="M115" s="4">
        <f t="shared" si="20"/>
        <v>8.7848902087730512</v>
      </c>
      <c r="N115">
        <f t="shared" si="21"/>
        <v>10.981112760966314</v>
      </c>
      <c r="O115" cm="1">
        <f t="array" ref="O115:Q115">_xlfn.XLOOKUP(C115, X$2:X$7, AG$2:AI$7)</f>
        <v>57.8</v>
      </c>
      <c r="P115">
        <v>-6.4299999999999996E-2</v>
      </c>
      <c r="Q115">
        <v>0</v>
      </c>
      <c r="R115">
        <f t="shared" si="22"/>
        <v>3.7356623130521789</v>
      </c>
      <c r="S115" s="4">
        <f t="shared" si="23"/>
        <v>3.7356623130521789</v>
      </c>
      <c r="T115">
        <f t="shared" si="24"/>
        <v>5.0492278957208718</v>
      </c>
      <c r="U115">
        <f t="shared" si="25"/>
        <v>7.2454504479141342</v>
      </c>
      <c r="V115">
        <v>1</v>
      </c>
      <c r="Y115">
        <v>28.699999999999989</v>
      </c>
      <c r="AB115" s="3"/>
    </row>
    <row r="116" spans="1:28">
      <c r="A116" t="s">
        <v>454</v>
      </c>
      <c r="B116" t="s">
        <v>42</v>
      </c>
      <c r="C116" t="s">
        <v>586</v>
      </c>
      <c r="D116" s="1">
        <v>107.9</v>
      </c>
      <c r="E116" s="1">
        <f t="shared" si="14"/>
        <v>73</v>
      </c>
      <c r="F116">
        <v>96.8</v>
      </c>
      <c r="G116" s="1">
        <v>47</v>
      </c>
      <c r="H116">
        <f t="shared" si="15"/>
        <v>23.799999999999997</v>
      </c>
      <c r="I116">
        <f t="shared" si="16"/>
        <v>1.4</v>
      </c>
      <c r="J116">
        <f t="shared" si="17"/>
        <v>6.1720897449134702</v>
      </c>
      <c r="K116">
        <f t="shared" si="18"/>
        <v>1.0011070456397422</v>
      </c>
      <c r="L116">
        <f t="shared" si="19"/>
        <v>5.8537160810087441</v>
      </c>
      <c r="M116" s="4">
        <f t="shared" si="20"/>
        <v>6.1789225299536739</v>
      </c>
      <c r="N116">
        <f t="shared" si="21"/>
        <v>7.7236531624420923</v>
      </c>
      <c r="O116" cm="1">
        <f t="array" ref="O116:Q116">_xlfn.XLOOKUP(C116, X$2:X$7, AG$2:AI$7)</f>
        <v>5.0900000000000001E-2</v>
      </c>
      <c r="P116">
        <v>-3.9</v>
      </c>
      <c r="Q116">
        <v>73.900000000000006</v>
      </c>
      <c r="R116">
        <f t="shared" si="22"/>
        <v>3.5454627000000332</v>
      </c>
      <c r="S116" s="4">
        <f t="shared" si="23"/>
        <v>3.5454627000000332</v>
      </c>
      <c r="T116">
        <f t="shared" si="24"/>
        <v>2.6334598299536407</v>
      </c>
      <c r="U116">
        <f t="shared" si="25"/>
        <v>4.1781904624420587</v>
      </c>
      <c r="V116">
        <v>1</v>
      </c>
      <c r="Y116">
        <v>28.699999999999989</v>
      </c>
      <c r="AB116" s="3"/>
    </row>
    <row r="117" spans="1:28">
      <c r="A117" t="s">
        <v>205</v>
      </c>
      <c r="B117" t="s">
        <v>88</v>
      </c>
      <c r="C117" t="s">
        <v>407</v>
      </c>
      <c r="D117" s="1">
        <v>116.9</v>
      </c>
      <c r="E117" s="1">
        <f t="shared" si="14"/>
        <v>93.4</v>
      </c>
      <c r="F117">
        <v>127.6</v>
      </c>
      <c r="G117" s="1">
        <v>46</v>
      </c>
      <c r="H117">
        <f t="shared" si="15"/>
        <v>34.199999999999989</v>
      </c>
      <c r="I117">
        <f t="shared" si="16"/>
        <v>2.0117647058823525</v>
      </c>
      <c r="J117">
        <f t="shared" si="17"/>
        <v>8.4321625746235558</v>
      </c>
      <c r="K117">
        <f t="shared" si="18"/>
        <v>0.94226603101549489</v>
      </c>
      <c r="L117">
        <f t="shared" si="19"/>
        <v>7.5271645535380429</v>
      </c>
      <c r="M117" s="4">
        <f t="shared" si="20"/>
        <v>7.9453403620679346</v>
      </c>
      <c r="N117">
        <f t="shared" si="21"/>
        <v>9.9316754525849191</v>
      </c>
      <c r="O117" cm="1">
        <f t="array" ref="O117:Q117">_xlfn.XLOOKUP(C117, X$2:X$7, AG$2:AI$7)</f>
        <v>57.8</v>
      </c>
      <c r="P117">
        <v>-6.4299999999999996E-2</v>
      </c>
      <c r="Q117">
        <v>0</v>
      </c>
      <c r="R117">
        <f t="shared" si="22"/>
        <v>3.5030188628909928</v>
      </c>
      <c r="S117" s="4">
        <f t="shared" si="23"/>
        <v>3.5030188628909928</v>
      </c>
      <c r="T117">
        <f t="shared" si="24"/>
        <v>4.4423214991769413</v>
      </c>
      <c r="U117">
        <f t="shared" si="25"/>
        <v>6.4286565896939258</v>
      </c>
      <c r="Y117">
        <v>27.800000000000011</v>
      </c>
      <c r="AB117" s="3"/>
    </row>
    <row r="118" spans="1:28">
      <c r="A118" t="s">
        <v>73</v>
      </c>
      <c r="B118" t="s">
        <v>74</v>
      </c>
      <c r="C118" t="s">
        <v>159</v>
      </c>
      <c r="D118" s="1">
        <v>228</v>
      </c>
      <c r="E118" s="1">
        <f t="shared" si="14"/>
        <v>190</v>
      </c>
      <c r="F118">
        <v>271.3</v>
      </c>
      <c r="G118" s="1">
        <v>18</v>
      </c>
      <c r="H118">
        <f t="shared" si="15"/>
        <v>81.300000000000011</v>
      </c>
      <c r="I118">
        <f t="shared" si="16"/>
        <v>4.7823529411764714</v>
      </c>
      <c r="J118">
        <f t="shared" si="17"/>
        <v>18.667684716868287</v>
      </c>
      <c r="K118">
        <f t="shared" si="18"/>
        <v>0.57566309754037293</v>
      </c>
      <c r="L118">
        <f t="shared" si="19"/>
        <v>10.180702618123716</v>
      </c>
      <c r="M118" s="4">
        <f t="shared" si="20"/>
        <v>10.746297208019477</v>
      </c>
      <c r="N118">
        <f t="shared" si="21"/>
        <v>13.432871510024347</v>
      </c>
      <c r="O118" cm="1">
        <f t="array" ref="O118:Q118">_xlfn.XLOOKUP(C118, X$2:X$7, AG$2:AI$7)</f>
        <v>56.4</v>
      </c>
      <c r="P118">
        <v>-0.16300000000000001</v>
      </c>
      <c r="Q118">
        <v>0</v>
      </c>
      <c r="R118">
        <f t="shared" si="22"/>
        <v>3.5004989371549562</v>
      </c>
      <c r="S118" s="4">
        <f t="shared" si="23"/>
        <v>3.5004989371549562</v>
      </c>
      <c r="T118">
        <f t="shared" si="24"/>
        <v>7.2457982708645208</v>
      </c>
      <c r="U118">
        <f t="shared" si="25"/>
        <v>9.9323725728693901</v>
      </c>
      <c r="Y118">
        <v>27.199999999999989</v>
      </c>
      <c r="AB118" s="3"/>
    </row>
    <row r="119" spans="1:28">
      <c r="A119" t="s">
        <v>206</v>
      </c>
      <c r="B119" t="s">
        <v>92</v>
      </c>
      <c r="C119" t="s">
        <v>407</v>
      </c>
      <c r="D119" s="1">
        <v>116.9</v>
      </c>
      <c r="E119" s="1">
        <f t="shared" si="14"/>
        <v>93.4</v>
      </c>
      <c r="F119">
        <v>126.6</v>
      </c>
      <c r="G119" s="1">
        <v>47</v>
      </c>
      <c r="H119">
        <f t="shared" si="15"/>
        <v>33.199999999999989</v>
      </c>
      <c r="I119">
        <f t="shared" si="16"/>
        <v>1.9529411764705875</v>
      </c>
      <c r="J119">
        <f t="shared" si="17"/>
        <v>8.2148478794591249</v>
      </c>
      <c r="K119">
        <f t="shared" si="18"/>
        <v>0.94226603101549489</v>
      </c>
      <c r="L119">
        <f t="shared" si="19"/>
        <v>7.3331735748385309</v>
      </c>
      <c r="M119" s="4">
        <f t="shared" si="20"/>
        <v>7.7405721067740041</v>
      </c>
      <c r="N119">
        <f t="shared" si="21"/>
        <v>9.6757151334675058</v>
      </c>
      <c r="O119" cm="1">
        <f t="array" ref="O119:Q119">_xlfn.XLOOKUP(C119, X$2:X$7, AG$2:AI$7)</f>
        <v>57.8</v>
      </c>
      <c r="P119">
        <v>-6.4299999999999996E-2</v>
      </c>
      <c r="Q119">
        <v>0</v>
      </c>
      <c r="R119">
        <f t="shared" si="22"/>
        <v>3.2848635999285776</v>
      </c>
      <c r="S119" s="4">
        <f t="shared" si="23"/>
        <v>3.2848635999285776</v>
      </c>
      <c r="T119">
        <f t="shared" si="24"/>
        <v>4.4557085068454265</v>
      </c>
      <c r="U119">
        <f t="shared" si="25"/>
        <v>6.3908515335389282</v>
      </c>
      <c r="Y119">
        <v>25.399999999999991</v>
      </c>
      <c r="AB119" s="3"/>
    </row>
    <row r="120" spans="1:28">
      <c r="A120" t="s">
        <v>730</v>
      </c>
      <c r="B120" t="s">
        <v>88</v>
      </c>
      <c r="C120" t="s">
        <v>764</v>
      </c>
      <c r="D120" s="1">
        <v>124.7</v>
      </c>
      <c r="E120" s="1">
        <f t="shared" si="14"/>
        <v>118.7</v>
      </c>
      <c r="F120">
        <v>125.9</v>
      </c>
      <c r="G120" s="1">
        <v>1</v>
      </c>
      <c r="H120">
        <f t="shared" si="15"/>
        <v>7.2000000000000028</v>
      </c>
      <c r="I120">
        <f t="shared" si="16"/>
        <v>0.42352941176470604</v>
      </c>
      <c r="J120">
        <f t="shared" si="17"/>
        <v>2.5646658051839077</v>
      </c>
      <c r="K120">
        <f t="shared" si="18"/>
        <v>0.70591649737063444</v>
      </c>
      <c r="L120">
        <f t="shared" si="19"/>
        <v>1.71515359148368</v>
      </c>
      <c r="M120" s="4">
        <f t="shared" si="20"/>
        <v>1.8104399021216622</v>
      </c>
      <c r="N120">
        <f t="shared" si="21"/>
        <v>2.2630498776520778</v>
      </c>
      <c r="O120" cm="1">
        <f t="array" ref="O120:Q120">_xlfn.XLOOKUP(C120, X$2:X$7, AG$2:AI$7)</f>
        <v>3.22</v>
      </c>
      <c r="P120">
        <v>-0.14799999999999999</v>
      </c>
      <c r="Q120">
        <v>0</v>
      </c>
      <c r="R120">
        <f t="shared" si="22"/>
        <v>3.2407918978623225</v>
      </c>
      <c r="S120" s="4">
        <f t="shared" si="23"/>
        <v>3.2407918978623225</v>
      </c>
      <c r="T120">
        <f t="shared" si="24"/>
        <v>-1.4303519957406603</v>
      </c>
      <c r="U120">
        <f t="shared" si="25"/>
        <v>-0.9777420202102447</v>
      </c>
      <c r="Y120">
        <v>24.699999999999989</v>
      </c>
      <c r="AB120" s="3"/>
    </row>
    <row r="121" spans="1:28">
      <c r="A121" t="s">
        <v>437</v>
      </c>
      <c r="B121" t="s">
        <v>44</v>
      </c>
      <c r="C121" t="s">
        <v>586</v>
      </c>
      <c r="D121" s="1">
        <v>107.9</v>
      </c>
      <c r="E121" s="1">
        <f t="shared" si="14"/>
        <v>73</v>
      </c>
      <c r="F121">
        <v>145.80000000000001</v>
      </c>
      <c r="G121" s="1">
        <v>30</v>
      </c>
      <c r="H121">
        <f t="shared" si="15"/>
        <v>72.800000000000011</v>
      </c>
      <c r="I121">
        <f t="shared" si="16"/>
        <v>4.2823529411764714</v>
      </c>
      <c r="J121">
        <f t="shared" si="17"/>
        <v>16.820509807970616</v>
      </c>
      <c r="K121">
        <f t="shared" si="18"/>
        <v>1.0011070456397422</v>
      </c>
      <c r="L121">
        <f t="shared" si="19"/>
        <v>15.952860833695361</v>
      </c>
      <c r="M121" s="4">
        <f t="shared" si="20"/>
        <v>16.839130880011769</v>
      </c>
      <c r="N121">
        <f t="shared" si="21"/>
        <v>21.048913600014711</v>
      </c>
      <c r="O121" cm="1">
        <f t="array" ref="O121:Q121">_xlfn.XLOOKUP(C121, X$2:X$7, AG$2:AI$7)</f>
        <v>5.0900000000000001E-2</v>
      </c>
      <c r="P121">
        <v>-3.9</v>
      </c>
      <c r="Q121">
        <v>73.900000000000006</v>
      </c>
      <c r="R121">
        <f t="shared" si="22"/>
        <v>3.1625700000000094</v>
      </c>
      <c r="S121" s="4">
        <f t="shared" si="23"/>
        <v>3.1625700000000094</v>
      </c>
      <c r="T121">
        <f t="shared" si="24"/>
        <v>13.67656088001176</v>
      </c>
      <c r="U121">
        <f t="shared" si="25"/>
        <v>17.886343600014701</v>
      </c>
      <c r="Y121">
        <v>24.599999999999994</v>
      </c>
      <c r="AB121" s="3"/>
    </row>
    <row r="122" spans="1:28">
      <c r="A122" t="s">
        <v>5</v>
      </c>
      <c r="C122" t="s">
        <v>38</v>
      </c>
      <c r="D122" s="1">
        <v>108.4</v>
      </c>
      <c r="E122" s="1">
        <f t="shared" si="14"/>
        <v>90</v>
      </c>
      <c r="F122">
        <v>109.1</v>
      </c>
      <c r="G122" s="1">
        <v>4</v>
      </c>
      <c r="H122">
        <f t="shared" si="15"/>
        <v>19.099999999999994</v>
      </c>
      <c r="I122">
        <f t="shared" si="16"/>
        <v>1.1235294117647054</v>
      </c>
      <c r="J122">
        <f t="shared" si="17"/>
        <v>5.1507106776406406</v>
      </c>
      <c r="K122">
        <f t="shared" si="18"/>
        <v>0.79844160049776736</v>
      </c>
      <c r="L122">
        <f t="shared" si="19"/>
        <v>3.8960921152007368</v>
      </c>
      <c r="M122" s="4">
        <f t="shared" si="20"/>
        <v>4.112541677156333</v>
      </c>
      <c r="N122">
        <f t="shared" si="21"/>
        <v>5.1406770964454163</v>
      </c>
      <c r="O122" cm="1">
        <f t="array" ref="O122:Q122">_xlfn.XLOOKUP(C122, X$2:X$7, AG$2:AI$7)</f>
        <v>6.77</v>
      </c>
      <c r="P122">
        <v>-0.23300000000000001</v>
      </c>
      <c r="Q122">
        <v>0</v>
      </c>
      <c r="R122">
        <f t="shared" si="22"/>
        <v>3.1109789146875166</v>
      </c>
      <c r="S122" s="4">
        <f t="shared" si="23"/>
        <v>3.1109789146875166</v>
      </c>
      <c r="T122">
        <f t="shared" si="24"/>
        <v>1.0015627624688164</v>
      </c>
      <c r="U122">
        <f t="shared" si="25"/>
        <v>2.0296981817578996</v>
      </c>
      <c r="Y122">
        <v>24.5</v>
      </c>
      <c r="AB122" s="3"/>
    </row>
    <row r="123" spans="1:28">
      <c r="A123" t="s">
        <v>598</v>
      </c>
      <c r="B123" t="s">
        <v>82</v>
      </c>
      <c r="C123" t="s">
        <v>729</v>
      </c>
      <c r="D123" s="1">
        <v>99</v>
      </c>
      <c r="E123" s="1">
        <f t="shared" si="14"/>
        <v>82.5</v>
      </c>
      <c r="F123">
        <v>108.3</v>
      </c>
      <c r="G123" s="1">
        <v>12</v>
      </c>
      <c r="H123">
        <f t="shared" si="15"/>
        <v>25.799999999999997</v>
      </c>
      <c r="I123">
        <f t="shared" si="16"/>
        <v>1.5176470588235293</v>
      </c>
      <c r="J123">
        <f t="shared" si="17"/>
        <v>6.6067191352423329</v>
      </c>
      <c r="K123">
        <f t="shared" si="18"/>
        <v>1.0909252297006058</v>
      </c>
      <c r="L123">
        <f t="shared" si="19"/>
        <v>6.828097822277333</v>
      </c>
      <c r="M123" s="4">
        <f t="shared" si="20"/>
        <v>7.2074365901816293</v>
      </c>
      <c r="N123">
        <f t="shared" si="21"/>
        <v>9.0092957377270366</v>
      </c>
      <c r="O123" cm="1">
        <f t="array" ref="O123:Q123">_xlfn.XLOOKUP(C123, X$2:X$7, AG$2:AI$7)</f>
        <v>55.4</v>
      </c>
      <c r="P123">
        <v>-0.253</v>
      </c>
      <c r="Q123">
        <v>0</v>
      </c>
      <c r="R123">
        <f t="shared" si="22"/>
        <v>3.1050069293499591</v>
      </c>
      <c r="S123" s="4">
        <f t="shared" si="23"/>
        <v>3.1050069293499591</v>
      </c>
      <c r="T123">
        <f t="shared" si="24"/>
        <v>4.1024296608316702</v>
      </c>
      <c r="U123">
        <f t="shared" si="25"/>
        <v>5.9042888083770775</v>
      </c>
      <c r="V123">
        <v>1</v>
      </c>
      <c r="Y123">
        <v>23.5</v>
      </c>
      <c r="AB123" s="3"/>
    </row>
    <row r="124" spans="1:28">
      <c r="A124" t="s">
        <v>207</v>
      </c>
      <c r="B124" t="s">
        <v>66</v>
      </c>
      <c r="C124" t="s">
        <v>407</v>
      </c>
      <c r="D124" s="1">
        <v>116.9</v>
      </c>
      <c r="E124" s="1">
        <f t="shared" si="14"/>
        <v>93.4</v>
      </c>
      <c r="F124">
        <v>125.9</v>
      </c>
      <c r="G124" s="1">
        <v>48</v>
      </c>
      <c r="H124">
        <f t="shared" si="15"/>
        <v>32.5</v>
      </c>
      <c r="I124">
        <f t="shared" si="16"/>
        <v>1.911764705882353</v>
      </c>
      <c r="J124">
        <f t="shared" si="17"/>
        <v>8.0627275928440252</v>
      </c>
      <c r="K124">
        <f t="shared" si="18"/>
        <v>0.94226603101549489</v>
      </c>
      <c r="L124">
        <f t="shared" si="19"/>
        <v>7.1973798897488734</v>
      </c>
      <c r="M124" s="4">
        <f t="shared" si="20"/>
        <v>7.5972343280682546</v>
      </c>
      <c r="N124">
        <f t="shared" si="21"/>
        <v>9.4965429100853189</v>
      </c>
      <c r="O124" cm="1">
        <f t="array" ref="O124:Q124">_xlfn.XLOOKUP(C124, X$2:X$7, AG$2:AI$7)</f>
        <v>57.8</v>
      </c>
      <c r="P124">
        <v>-6.4299999999999996E-2</v>
      </c>
      <c r="Q124">
        <v>0</v>
      </c>
      <c r="R124">
        <f t="shared" si="22"/>
        <v>3.0802942526066306</v>
      </c>
      <c r="S124" s="4">
        <f t="shared" si="23"/>
        <v>3.0802942526066306</v>
      </c>
      <c r="T124">
        <f t="shared" si="24"/>
        <v>4.5169400754616245</v>
      </c>
      <c r="U124">
        <f t="shared" si="25"/>
        <v>6.4162486574786879</v>
      </c>
      <c r="V124">
        <v>1</v>
      </c>
      <c r="Y124">
        <v>22.699999999999989</v>
      </c>
      <c r="AB124" s="3"/>
    </row>
    <row r="125" spans="1:28">
      <c r="A125" t="s">
        <v>75</v>
      </c>
      <c r="B125" t="s">
        <v>76</v>
      </c>
      <c r="C125" t="s">
        <v>159</v>
      </c>
      <c r="D125" s="1">
        <v>228</v>
      </c>
      <c r="E125" s="1">
        <f t="shared" si="14"/>
        <v>190</v>
      </c>
      <c r="F125">
        <v>254.8</v>
      </c>
      <c r="G125" s="1">
        <v>19</v>
      </c>
      <c r="H125">
        <f t="shared" si="15"/>
        <v>64.800000000000011</v>
      </c>
      <c r="I125">
        <f t="shared" si="16"/>
        <v>3.8117647058823536</v>
      </c>
      <c r="J125">
        <f t="shared" si="17"/>
        <v>15.081992246655165</v>
      </c>
      <c r="K125">
        <f t="shared" si="18"/>
        <v>0.57566309754037293</v>
      </c>
      <c r="L125">
        <f t="shared" si="19"/>
        <v>8.2251913014846956</v>
      </c>
      <c r="M125" s="4">
        <f t="shared" si="20"/>
        <v>8.6821463737894007</v>
      </c>
      <c r="N125">
        <f t="shared" si="21"/>
        <v>10.852682967236751</v>
      </c>
      <c r="O125" cm="1">
        <f t="array" ref="O125:Q125">_xlfn.XLOOKUP(C125, X$2:X$7, AG$2:AI$7)</f>
        <v>56.4</v>
      </c>
      <c r="P125">
        <v>-0.16300000000000001</v>
      </c>
      <c r="Q125">
        <v>0</v>
      </c>
      <c r="R125">
        <f t="shared" si="22"/>
        <v>2.9739930520614903</v>
      </c>
      <c r="S125" s="4">
        <f t="shared" si="23"/>
        <v>2.9739930520614903</v>
      </c>
      <c r="T125">
        <f t="shared" si="24"/>
        <v>5.7081533217279103</v>
      </c>
      <c r="U125">
        <f t="shared" si="25"/>
        <v>7.8786899151752605</v>
      </c>
      <c r="Y125">
        <v>21.599999999999994</v>
      </c>
      <c r="AB125" s="3"/>
    </row>
    <row r="126" spans="1:28">
      <c r="A126" t="s">
        <v>208</v>
      </c>
      <c r="B126" t="s">
        <v>40</v>
      </c>
      <c r="C126" t="s">
        <v>407</v>
      </c>
      <c r="D126" s="1">
        <v>116.9</v>
      </c>
      <c r="E126" s="1">
        <f t="shared" si="14"/>
        <v>93.4</v>
      </c>
      <c r="F126">
        <v>125.2</v>
      </c>
      <c r="G126" s="1">
        <v>49</v>
      </c>
      <c r="H126">
        <f t="shared" si="15"/>
        <v>31.799999999999997</v>
      </c>
      <c r="I126">
        <f t="shared" si="16"/>
        <v>1.8705882352941174</v>
      </c>
      <c r="J126">
        <f t="shared" si="17"/>
        <v>7.9106073062289219</v>
      </c>
      <c r="K126">
        <f t="shared" si="18"/>
        <v>0.94226603101549489</v>
      </c>
      <c r="L126">
        <f t="shared" si="19"/>
        <v>7.0615862046592124</v>
      </c>
      <c r="M126" s="4">
        <f t="shared" si="20"/>
        <v>7.4538965493625016</v>
      </c>
      <c r="N126">
        <f t="shared" si="21"/>
        <v>9.3173706867031267</v>
      </c>
      <c r="O126" cm="1">
        <f t="array" ref="O126:Q126">_xlfn.XLOOKUP(C126, X$2:X$7, AG$2:AI$7)</f>
        <v>57.8</v>
      </c>
      <c r="P126">
        <v>-6.4299999999999996E-2</v>
      </c>
      <c r="Q126">
        <v>0</v>
      </c>
      <c r="R126">
        <f t="shared" si="22"/>
        <v>2.8884647395550136</v>
      </c>
      <c r="S126" s="4">
        <f t="shared" si="23"/>
        <v>2.8884647395550136</v>
      </c>
      <c r="T126">
        <f t="shared" si="24"/>
        <v>4.565431809807488</v>
      </c>
      <c r="U126">
        <f t="shared" si="25"/>
        <v>6.4289059471481131</v>
      </c>
      <c r="Y126">
        <v>21.5</v>
      </c>
      <c r="AB126" s="3"/>
    </row>
    <row r="127" spans="1:28">
      <c r="A127" t="s">
        <v>731</v>
      </c>
      <c r="B127" t="s">
        <v>40</v>
      </c>
      <c r="C127" t="s">
        <v>764</v>
      </c>
      <c r="D127" s="1">
        <v>124.7</v>
      </c>
      <c r="E127" s="1">
        <f t="shared" si="14"/>
        <v>118.7</v>
      </c>
      <c r="F127">
        <v>125.6</v>
      </c>
      <c r="G127" s="1">
        <v>2</v>
      </c>
      <c r="H127">
        <f t="shared" si="15"/>
        <v>6.8999999999999915</v>
      </c>
      <c r="I127">
        <f t="shared" si="16"/>
        <v>0.40588235294117597</v>
      </c>
      <c r="J127">
        <f t="shared" si="17"/>
        <v>2.4994713966345756</v>
      </c>
      <c r="K127">
        <f t="shared" si="18"/>
        <v>0.70591649737063444</v>
      </c>
      <c r="L127">
        <f t="shared" si="19"/>
        <v>1.6715539834014008</v>
      </c>
      <c r="M127" s="4">
        <f t="shared" si="20"/>
        <v>1.7644180935903675</v>
      </c>
      <c r="N127">
        <f t="shared" si="21"/>
        <v>2.2055226169879596</v>
      </c>
      <c r="O127" cm="1">
        <f t="array" ref="O127:Q127">_xlfn.XLOOKUP(C127, X$2:X$7, AG$2:AI$7)</f>
        <v>3.22</v>
      </c>
      <c r="P127">
        <v>-0.14799999999999999</v>
      </c>
      <c r="Q127">
        <v>0</v>
      </c>
      <c r="R127">
        <f t="shared" si="22"/>
        <v>2.7949597697685502</v>
      </c>
      <c r="S127" s="4">
        <f t="shared" si="23"/>
        <v>2.7949597697685502</v>
      </c>
      <c r="T127">
        <f t="shared" si="24"/>
        <v>-1.0305416761781827</v>
      </c>
      <c r="U127">
        <f t="shared" si="25"/>
        <v>-0.58943715278059061</v>
      </c>
      <c r="Y127">
        <v>19.799999999999997</v>
      </c>
      <c r="AB127" s="3"/>
    </row>
    <row r="128" spans="1:28">
      <c r="A128" t="s">
        <v>209</v>
      </c>
      <c r="B128" t="s">
        <v>48</v>
      </c>
      <c r="C128" t="s">
        <v>407</v>
      </c>
      <c r="D128" s="1">
        <v>116.9</v>
      </c>
      <c r="E128" s="1">
        <f t="shared" si="14"/>
        <v>93.4</v>
      </c>
      <c r="F128">
        <v>124.1</v>
      </c>
      <c r="G128" s="1">
        <v>50</v>
      </c>
      <c r="H128">
        <f t="shared" si="15"/>
        <v>30.699999999999989</v>
      </c>
      <c r="I128">
        <f t="shared" si="16"/>
        <v>1.8058823529411758</v>
      </c>
      <c r="J128">
        <f t="shared" si="17"/>
        <v>7.6715611415480449</v>
      </c>
      <c r="K128">
        <f t="shared" si="18"/>
        <v>0.94226603101549489</v>
      </c>
      <c r="L128">
        <f t="shared" si="19"/>
        <v>6.8481961280897456</v>
      </c>
      <c r="M128" s="4">
        <f t="shared" si="20"/>
        <v>7.2286514685391756</v>
      </c>
      <c r="N128">
        <f t="shared" si="21"/>
        <v>9.0358143356739689</v>
      </c>
      <c r="O128" cm="1">
        <f t="array" ref="O128:Q128">_xlfn.XLOOKUP(C128, X$2:X$7, AG$2:AI$7)</f>
        <v>57.8</v>
      </c>
      <c r="P128">
        <v>-6.4299999999999996E-2</v>
      </c>
      <c r="Q128">
        <v>0</v>
      </c>
      <c r="R128">
        <f t="shared" si="22"/>
        <v>2.7085816702713821</v>
      </c>
      <c r="S128" s="4">
        <f t="shared" si="23"/>
        <v>2.7085816702713821</v>
      </c>
      <c r="T128">
        <f t="shared" si="24"/>
        <v>4.5200697982677935</v>
      </c>
      <c r="U128">
        <f t="shared" si="25"/>
        <v>6.3272326654025868</v>
      </c>
      <c r="Y128">
        <v>18.599999999999994</v>
      </c>
      <c r="AB128" s="3"/>
    </row>
    <row r="129" spans="1:28">
      <c r="A129" t="s">
        <v>453</v>
      </c>
      <c r="B129" t="s">
        <v>94</v>
      </c>
      <c r="C129" t="s">
        <v>586</v>
      </c>
      <c r="D129" s="1">
        <v>107.9</v>
      </c>
      <c r="E129" s="1">
        <f t="shared" si="14"/>
        <v>73</v>
      </c>
      <c r="F129">
        <v>101.2</v>
      </c>
      <c r="G129" s="1">
        <v>46</v>
      </c>
      <c r="H129">
        <f t="shared" si="15"/>
        <v>28.200000000000003</v>
      </c>
      <c r="I129">
        <f t="shared" si="16"/>
        <v>1.6588235294117648</v>
      </c>
      <c r="J129">
        <f t="shared" si="17"/>
        <v>7.1282744036369694</v>
      </c>
      <c r="K129">
        <f t="shared" si="18"/>
        <v>1.0011070456397422</v>
      </c>
      <c r="L129">
        <f t="shared" si="19"/>
        <v>6.7605780588010118</v>
      </c>
      <c r="M129" s="4">
        <f t="shared" si="20"/>
        <v>7.1361657287344018</v>
      </c>
      <c r="N129">
        <f t="shared" si="21"/>
        <v>8.920207160918002</v>
      </c>
      <c r="O129" cm="1">
        <f t="array" ref="O129:Q129">_xlfn.XLOOKUP(C129, X$2:X$7, AG$2:AI$7)</f>
        <v>5.0900000000000001E-2</v>
      </c>
      <c r="P129">
        <v>-3.9</v>
      </c>
      <c r="Q129">
        <v>73.900000000000006</v>
      </c>
      <c r="R129">
        <f t="shared" si="22"/>
        <v>2.5725348000000081</v>
      </c>
      <c r="S129" s="4">
        <f t="shared" si="23"/>
        <v>2.5725348000000081</v>
      </c>
      <c r="T129">
        <f t="shared" si="24"/>
        <v>4.5636309287343941</v>
      </c>
      <c r="U129">
        <f t="shared" si="25"/>
        <v>6.3476723609179935</v>
      </c>
      <c r="V129">
        <v>1</v>
      </c>
      <c r="Y129">
        <v>18.5</v>
      </c>
      <c r="AB129" s="3"/>
    </row>
    <row r="130" spans="1:28">
      <c r="A130" t="s">
        <v>210</v>
      </c>
      <c r="B130" t="s">
        <v>98</v>
      </c>
      <c r="C130" t="s">
        <v>407</v>
      </c>
      <c r="D130" s="1">
        <v>116.9</v>
      </c>
      <c r="E130" s="1">
        <f t="shared" ref="E130:E193" si="26">IF(C130=X$2, AE$2, IF(C130 = X$3, AE$3, IF(C130 = X$4, AE$4, IF(C130 = X$5, AE$5, IF(C130=X$6, AE$6, IF(C130=X$7, AE$7, ""))))))</f>
        <v>93.4</v>
      </c>
      <c r="F130">
        <v>122.1</v>
      </c>
      <c r="G130" s="1">
        <v>51</v>
      </c>
      <c r="H130">
        <f t="shared" ref="H130:H193" si="27">F130-E130</f>
        <v>28.699999999999989</v>
      </c>
      <c r="I130">
        <f t="shared" ref="I130:I193" si="28">H130/17</f>
        <v>1.6882352941176464</v>
      </c>
      <c r="J130">
        <f t="shared" ref="J130:J193" si="29">IF(1+I130/AK$2&lt;0, 0,(1+I130/AK$2))</f>
        <v>7.2369317512191822</v>
      </c>
      <c r="K130">
        <f t="shared" ref="K130:K193" si="30">IF(C130=X$2, AB$2, IF(C130 = X$3, AB$3, IF(C130 = X$4, AB$4, IF(C130 = X$5, AB$5, IF(C130=X$6, AB$6, IF(C130=X$7, AB$7, ""))))))</f>
        <v>0.94226603101549489</v>
      </c>
      <c r="L130">
        <f t="shared" ref="L130:L193" si="31">M130/AN$21*AN$12</f>
        <v>6.4602141706907181</v>
      </c>
      <c r="M130" s="4">
        <f t="shared" ref="M130:M193" si="32">J130*K130</f>
        <v>6.8191149579513137</v>
      </c>
      <c r="N130">
        <f t="shared" ref="N130:N193" si="33">M130*1.25</f>
        <v>8.5238936974391422</v>
      </c>
      <c r="O130" cm="1">
        <f t="array" ref="O130:Q130">_xlfn.XLOOKUP(C130, X$2:X$7, AG$2:AI$7)</f>
        <v>57.8</v>
      </c>
      <c r="P130">
        <v>-6.4299999999999996E-2</v>
      </c>
      <c r="Q130">
        <v>0</v>
      </c>
      <c r="R130">
        <f t="shared" ref="R130:R193" si="34">IF(Q130=0,1.167*O130*EXP(P130*G130),1.167*(O130*G130^2+P130*G130+Q130))</f>
        <v>2.5399010637257544</v>
      </c>
      <c r="S130" s="4">
        <f t="shared" ref="S130:S193" si="35">IF(OR(H130&lt;0, R130&lt;1), 1, R130)</f>
        <v>2.5399010637257544</v>
      </c>
      <c r="T130">
        <f t="shared" ref="T130:T193" si="36">M130-S130</f>
        <v>4.2792138942255598</v>
      </c>
      <c r="U130">
        <f t="shared" ref="U130:U193" si="37">N130-S130</f>
        <v>5.9839926337133882</v>
      </c>
      <c r="V130">
        <v>1</v>
      </c>
      <c r="Y130">
        <v>17.900000000000006</v>
      </c>
      <c r="AB130" s="3"/>
    </row>
    <row r="131" spans="1:28">
      <c r="A131" t="s">
        <v>77</v>
      </c>
      <c r="B131" t="s">
        <v>78</v>
      </c>
      <c r="C131" t="s">
        <v>159</v>
      </c>
      <c r="D131" s="1">
        <v>228</v>
      </c>
      <c r="E131" s="1">
        <f t="shared" si="26"/>
        <v>190</v>
      </c>
      <c r="F131">
        <v>252.4</v>
      </c>
      <c r="G131" s="1">
        <v>20</v>
      </c>
      <c r="H131">
        <f t="shared" si="27"/>
        <v>62.400000000000006</v>
      </c>
      <c r="I131">
        <f t="shared" si="28"/>
        <v>3.6705882352941179</v>
      </c>
      <c r="J131">
        <f t="shared" si="29"/>
        <v>14.560436978260528</v>
      </c>
      <c r="K131">
        <f t="shared" si="30"/>
        <v>0.57566309754037293</v>
      </c>
      <c r="L131">
        <f t="shared" si="31"/>
        <v>7.9407532917917463</v>
      </c>
      <c r="M131" s="4">
        <f t="shared" si="32"/>
        <v>8.3819062524468428</v>
      </c>
      <c r="N131">
        <f t="shared" si="33"/>
        <v>10.477382815558553</v>
      </c>
      <c r="O131" cm="1">
        <f t="array" ref="O131:Q131">_xlfn.XLOOKUP(C131, X$2:X$7, AG$2:AI$7)</f>
        <v>56.4</v>
      </c>
      <c r="P131">
        <v>-0.16300000000000001</v>
      </c>
      <c r="Q131">
        <v>0</v>
      </c>
      <c r="R131">
        <f t="shared" si="34"/>
        <v>2.5266782914376549</v>
      </c>
      <c r="S131" s="4">
        <f t="shared" si="35"/>
        <v>2.5266782914376549</v>
      </c>
      <c r="T131">
        <f t="shared" si="36"/>
        <v>5.855227961009188</v>
      </c>
      <c r="U131">
        <f t="shared" si="37"/>
        <v>7.9507045241208978</v>
      </c>
      <c r="Y131">
        <v>16.699999999999989</v>
      </c>
      <c r="AB131" s="3"/>
    </row>
    <row r="132" spans="1:28">
      <c r="A132" t="s">
        <v>6</v>
      </c>
      <c r="C132" t="s">
        <v>38</v>
      </c>
      <c r="D132" s="1">
        <v>108.4</v>
      </c>
      <c r="E132" s="1">
        <f t="shared" si="26"/>
        <v>90</v>
      </c>
      <c r="F132">
        <v>108.8</v>
      </c>
      <c r="G132" s="1">
        <v>5</v>
      </c>
      <c r="H132">
        <f t="shared" si="27"/>
        <v>18.799999999999997</v>
      </c>
      <c r="I132">
        <f t="shared" si="28"/>
        <v>1.1058823529411763</v>
      </c>
      <c r="J132">
        <f t="shared" si="29"/>
        <v>5.085516269091312</v>
      </c>
      <c r="K132">
        <f t="shared" si="30"/>
        <v>0.79844160049776736</v>
      </c>
      <c r="L132">
        <f t="shared" si="31"/>
        <v>3.8467778677111908</v>
      </c>
      <c r="M132" s="4">
        <f t="shared" si="32"/>
        <v>4.0604877492507017</v>
      </c>
      <c r="N132">
        <f t="shared" si="33"/>
        <v>5.0756096865633769</v>
      </c>
      <c r="O132" cm="1">
        <f t="array" ref="O132:Q132">_xlfn.XLOOKUP(C132, X$2:X$7, AG$2:AI$7)</f>
        <v>6.77</v>
      </c>
      <c r="P132">
        <v>-0.23300000000000001</v>
      </c>
      <c r="Q132">
        <v>0</v>
      </c>
      <c r="R132">
        <f t="shared" si="34"/>
        <v>2.4643730644285085</v>
      </c>
      <c r="S132" s="4">
        <f t="shared" si="35"/>
        <v>2.4643730644285085</v>
      </c>
      <c r="T132">
        <f t="shared" si="36"/>
        <v>1.5961146848221932</v>
      </c>
      <c r="U132">
        <f t="shared" si="37"/>
        <v>2.6112366221348684</v>
      </c>
      <c r="Y132">
        <v>16.099999999999994</v>
      </c>
      <c r="AB132" s="3"/>
    </row>
    <row r="133" spans="1:28">
      <c r="A133" t="s">
        <v>599</v>
      </c>
      <c r="B133" t="s">
        <v>90</v>
      </c>
      <c r="C133" t="s">
        <v>729</v>
      </c>
      <c r="D133" s="1">
        <v>99</v>
      </c>
      <c r="E133" s="1">
        <f t="shared" si="26"/>
        <v>82.5</v>
      </c>
      <c r="F133">
        <v>105.8</v>
      </c>
      <c r="G133" s="1">
        <v>13</v>
      </c>
      <c r="H133">
        <f t="shared" si="27"/>
        <v>23.299999999999997</v>
      </c>
      <c r="I133">
        <f t="shared" si="28"/>
        <v>1.3705882352941174</v>
      </c>
      <c r="J133">
        <f t="shared" si="29"/>
        <v>6.0634323973312538</v>
      </c>
      <c r="K133">
        <f t="shared" si="30"/>
        <v>1.0909252297006058</v>
      </c>
      <c r="L133">
        <f t="shared" si="31"/>
        <v>6.2666065713151822</v>
      </c>
      <c r="M133" s="4">
        <f t="shared" si="32"/>
        <v>6.6147513808326925</v>
      </c>
      <c r="N133">
        <f t="shared" si="33"/>
        <v>8.268439226040865</v>
      </c>
      <c r="O133" cm="1">
        <f t="array" ref="O133:Q133">_xlfn.XLOOKUP(C133, X$2:X$7, AG$2:AI$7)</f>
        <v>55.4</v>
      </c>
      <c r="P133">
        <v>-0.253</v>
      </c>
      <c r="Q133">
        <v>0</v>
      </c>
      <c r="R133">
        <f t="shared" si="34"/>
        <v>2.4109381534803909</v>
      </c>
      <c r="S133" s="4">
        <f t="shared" si="35"/>
        <v>2.4109381534803909</v>
      </c>
      <c r="T133">
        <f t="shared" si="36"/>
        <v>4.2038132273523017</v>
      </c>
      <c r="U133">
        <f t="shared" si="37"/>
        <v>5.8575010725604741</v>
      </c>
      <c r="Y133">
        <v>13.699999999999989</v>
      </c>
      <c r="AB133" s="3"/>
    </row>
    <row r="134" spans="1:28">
      <c r="A134" t="s">
        <v>732</v>
      </c>
      <c r="B134" t="s">
        <v>42</v>
      </c>
      <c r="C134" t="s">
        <v>764</v>
      </c>
      <c r="D134" s="1">
        <v>124.7</v>
      </c>
      <c r="E134" s="1">
        <f t="shared" si="26"/>
        <v>118.7</v>
      </c>
      <c r="F134">
        <v>124.8</v>
      </c>
      <c r="G134" s="1">
        <v>3</v>
      </c>
      <c r="H134">
        <f t="shared" si="27"/>
        <v>6.0999999999999943</v>
      </c>
      <c r="I134">
        <f t="shared" si="28"/>
        <v>0.35882352941176437</v>
      </c>
      <c r="J134">
        <f t="shared" si="29"/>
        <v>2.3256196405030312</v>
      </c>
      <c r="K134">
        <f t="shared" si="30"/>
        <v>0.70591649737063444</v>
      </c>
      <c r="L134">
        <f t="shared" si="31"/>
        <v>1.5552883618486615</v>
      </c>
      <c r="M134" s="4">
        <f t="shared" si="32"/>
        <v>1.6416932708402538</v>
      </c>
      <c r="N134">
        <f t="shared" si="33"/>
        <v>2.0521165885503172</v>
      </c>
      <c r="O134" cm="1">
        <f t="array" ref="O134:Q134">_xlfn.XLOOKUP(C134, X$2:X$7, AG$2:AI$7)</f>
        <v>3.22</v>
      </c>
      <c r="P134">
        <v>-0.14799999999999999</v>
      </c>
      <c r="Q134">
        <v>0</v>
      </c>
      <c r="R134">
        <f t="shared" si="34"/>
        <v>2.4104602704596534</v>
      </c>
      <c r="S134" s="4">
        <f t="shared" si="35"/>
        <v>2.4104602704596534</v>
      </c>
      <c r="T134">
        <f t="shared" si="36"/>
        <v>-0.76876699961939954</v>
      </c>
      <c r="U134">
        <f t="shared" si="37"/>
        <v>-0.35834368190933619</v>
      </c>
      <c r="Y134">
        <v>12.799999999999997</v>
      </c>
      <c r="AB134" s="3"/>
    </row>
    <row r="135" spans="1:28">
      <c r="A135" t="s">
        <v>211</v>
      </c>
      <c r="B135" t="s">
        <v>46</v>
      </c>
      <c r="C135" t="s">
        <v>407</v>
      </c>
      <c r="D135" s="1">
        <v>116.9</v>
      </c>
      <c r="E135" s="1">
        <f t="shared" si="26"/>
        <v>93.4</v>
      </c>
      <c r="F135">
        <v>122.1</v>
      </c>
      <c r="G135" s="1">
        <v>52</v>
      </c>
      <c r="H135">
        <f t="shared" si="27"/>
        <v>28.699999999999989</v>
      </c>
      <c r="I135">
        <f t="shared" si="28"/>
        <v>1.6882352941176464</v>
      </c>
      <c r="J135">
        <f t="shared" si="29"/>
        <v>7.2369317512191822</v>
      </c>
      <c r="K135">
        <f t="shared" si="30"/>
        <v>0.94226603101549489</v>
      </c>
      <c r="L135">
        <f t="shared" si="31"/>
        <v>6.4602141706907181</v>
      </c>
      <c r="M135" s="4">
        <f t="shared" si="32"/>
        <v>6.8191149579513137</v>
      </c>
      <c r="N135">
        <f t="shared" si="33"/>
        <v>8.5238936974391422</v>
      </c>
      <c r="O135" cm="1">
        <f t="array" ref="O135:Q135">_xlfn.XLOOKUP(C135, X$2:X$7, AG$2:AI$7)</f>
        <v>57.8</v>
      </c>
      <c r="P135">
        <v>-6.4299999999999996E-2</v>
      </c>
      <c r="Q135">
        <v>0</v>
      </c>
      <c r="R135">
        <f t="shared" si="34"/>
        <v>2.381725271318424</v>
      </c>
      <c r="S135" s="4">
        <f t="shared" si="35"/>
        <v>2.381725271318424</v>
      </c>
      <c r="T135">
        <f t="shared" si="36"/>
        <v>4.4373896866328897</v>
      </c>
      <c r="U135">
        <f t="shared" si="37"/>
        <v>6.1421684261207181</v>
      </c>
      <c r="Y135">
        <v>12.099999999999994</v>
      </c>
      <c r="AB135" s="3"/>
    </row>
    <row r="136" spans="1:28">
      <c r="A136" t="s">
        <v>438</v>
      </c>
      <c r="B136" t="s">
        <v>50</v>
      </c>
      <c r="C136" t="s">
        <v>586</v>
      </c>
      <c r="D136" s="1">
        <v>107.9</v>
      </c>
      <c r="E136" s="1">
        <f t="shared" si="26"/>
        <v>73</v>
      </c>
      <c r="F136">
        <v>143.30000000000001</v>
      </c>
      <c r="G136" s="1">
        <v>31</v>
      </c>
      <c r="H136">
        <f t="shared" si="27"/>
        <v>70.300000000000011</v>
      </c>
      <c r="I136">
        <f t="shared" si="28"/>
        <v>4.1352941176470592</v>
      </c>
      <c r="J136">
        <f t="shared" si="29"/>
        <v>16.277223070059538</v>
      </c>
      <c r="K136">
        <f t="shared" si="30"/>
        <v>1.0011070456397422</v>
      </c>
      <c r="L136">
        <f t="shared" si="31"/>
        <v>15.437598346313392</v>
      </c>
      <c r="M136" s="4">
        <f t="shared" si="32"/>
        <v>16.295242698886359</v>
      </c>
      <c r="N136">
        <f t="shared" si="33"/>
        <v>20.369053373607947</v>
      </c>
      <c r="O136" cm="1">
        <f t="array" ref="O136:Q136">_xlfn.XLOOKUP(C136, X$2:X$7, AG$2:AI$7)</f>
        <v>5.0900000000000001E-2</v>
      </c>
      <c r="P136">
        <v>-3.9</v>
      </c>
      <c r="Q136">
        <v>73.900000000000006</v>
      </c>
      <c r="R136">
        <f t="shared" si="34"/>
        <v>2.2346883000000202</v>
      </c>
      <c r="S136" s="4">
        <f t="shared" si="35"/>
        <v>2.2346883000000202</v>
      </c>
      <c r="T136">
        <f t="shared" si="36"/>
        <v>14.060554398886339</v>
      </c>
      <c r="U136">
        <f t="shared" si="37"/>
        <v>18.134365073607928</v>
      </c>
      <c r="Y136">
        <v>11</v>
      </c>
      <c r="AB136" s="3"/>
    </row>
    <row r="137" spans="1:28">
      <c r="A137" t="s">
        <v>212</v>
      </c>
      <c r="B137" t="s">
        <v>58</v>
      </c>
      <c r="C137" t="s">
        <v>407</v>
      </c>
      <c r="D137" s="1">
        <v>116.9</v>
      </c>
      <c r="E137" s="1">
        <f t="shared" si="26"/>
        <v>93.4</v>
      </c>
      <c r="F137">
        <v>120.6</v>
      </c>
      <c r="G137" s="1">
        <v>53</v>
      </c>
      <c r="H137">
        <f t="shared" si="27"/>
        <v>27.199999999999989</v>
      </c>
      <c r="I137">
        <f t="shared" si="28"/>
        <v>1.5999999999999994</v>
      </c>
      <c r="J137">
        <f t="shared" si="29"/>
        <v>6.9109597084725349</v>
      </c>
      <c r="K137">
        <f t="shared" si="30"/>
        <v>0.94226603101549489</v>
      </c>
      <c r="L137">
        <f t="shared" si="31"/>
        <v>6.1692277026414484</v>
      </c>
      <c r="M137" s="4">
        <f t="shared" si="32"/>
        <v>6.5119625750104175</v>
      </c>
      <c r="N137">
        <f t="shared" si="33"/>
        <v>8.1399532187630221</v>
      </c>
      <c r="O137" cm="1">
        <f t="array" ref="O137:Q137">_xlfn.XLOOKUP(C137, X$2:X$7, AG$2:AI$7)</f>
        <v>57.8</v>
      </c>
      <c r="P137">
        <v>-6.4299999999999996E-2</v>
      </c>
      <c r="Q137">
        <v>0</v>
      </c>
      <c r="R137">
        <f t="shared" si="34"/>
        <v>2.2334000914648708</v>
      </c>
      <c r="S137" s="4">
        <f t="shared" si="35"/>
        <v>2.2334000914648708</v>
      </c>
      <c r="T137">
        <f t="shared" si="36"/>
        <v>4.2785624835455467</v>
      </c>
      <c r="U137">
        <f t="shared" si="37"/>
        <v>5.9065531272981513</v>
      </c>
      <c r="V137">
        <v>1</v>
      </c>
      <c r="Y137">
        <v>9.3999999999999915</v>
      </c>
      <c r="AB137" s="3"/>
    </row>
    <row r="138" spans="1:28">
      <c r="A138" t="s">
        <v>79</v>
      </c>
      <c r="B138" t="s">
        <v>80</v>
      </c>
      <c r="C138" t="s">
        <v>159</v>
      </c>
      <c r="D138" s="1">
        <v>228</v>
      </c>
      <c r="E138" s="1">
        <f t="shared" si="26"/>
        <v>190</v>
      </c>
      <c r="F138">
        <v>251.8</v>
      </c>
      <c r="G138" s="1">
        <v>21</v>
      </c>
      <c r="H138">
        <f t="shared" si="27"/>
        <v>61.800000000000011</v>
      </c>
      <c r="I138">
        <f t="shared" si="28"/>
        <v>3.6352941176470597</v>
      </c>
      <c r="J138">
        <f t="shared" si="29"/>
        <v>14.430048161161871</v>
      </c>
      <c r="K138">
        <f t="shared" si="30"/>
        <v>0.57566309754037293</v>
      </c>
      <c r="L138">
        <f t="shared" si="31"/>
        <v>7.8696437893685092</v>
      </c>
      <c r="M138" s="4">
        <f t="shared" si="32"/>
        <v>8.3068462221112043</v>
      </c>
      <c r="N138">
        <f t="shared" si="33"/>
        <v>10.383557777639005</v>
      </c>
      <c r="O138" cm="1">
        <f t="array" ref="O138:Q138">_xlfn.XLOOKUP(C138, X$2:X$7, AG$2:AI$7)</f>
        <v>56.4</v>
      </c>
      <c r="P138">
        <v>-0.16300000000000001</v>
      </c>
      <c r="Q138">
        <v>0</v>
      </c>
      <c r="R138">
        <f t="shared" si="34"/>
        <v>2.1466436123638646</v>
      </c>
      <c r="S138" s="4">
        <f t="shared" si="35"/>
        <v>2.1466436123638646</v>
      </c>
      <c r="T138">
        <f t="shared" si="36"/>
        <v>6.1602026097473397</v>
      </c>
      <c r="U138">
        <f t="shared" si="37"/>
        <v>8.2369141652751416</v>
      </c>
      <c r="Y138">
        <v>6.5</v>
      </c>
      <c r="AB138" s="3"/>
    </row>
    <row r="139" spans="1:28">
      <c r="A139" t="s">
        <v>213</v>
      </c>
      <c r="B139" t="s">
        <v>78</v>
      </c>
      <c r="C139" t="s">
        <v>407</v>
      </c>
      <c r="D139" s="1">
        <v>116.9</v>
      </c>
      <c r="E139" s="1">
        <f t="shared" si="26"/>
        <v>93.4</v>
      </c>
      <c r="F139">
        <v>118.8</v>
      </c>
      <c r="G139" s="1">
        <v>54</v>
      </c>
      <c r="H139">
        <f t="shared" si="27"/>
        <v>25.399999999999991</v>
      </c>
      <c r="I139">
        <f t="shared" si="28"/>
        <v>1.4941176470588231</v>
      </c>
      <c r="J139">
        <f t="shared" si="29"/>
        <v>6.5197932571765591</v>
      </c>
      <c r="K139">
        <f t="shared" si="30"/>
        <v>0.94226603101549489</v>
      </c>
      <c r="L139">
        <f t="shared" si="31"/>
        <v>5.8200439409823241</v>
      </c>
      <c r="M139" s="4">
        <f t="shared" si="32"/>
        <v>6.1433797154813421</v>
      </c>
      <c r="N139">
        <f t="shared" si="33"/>
        <v>7.6792246443516774</v>
      </c>
      <c r="O139" cm="1">
        <f t="array" ref="O139:Q139">_xlfn.XLOOKUP(C139, X$2:X$7, AG$2:AI$7)</f>
        <v>57.8</v>
      </c>
      <c r="P139">
        <v>-6.4299999999999996E-2</v>
      </c>
      <c r="Q139">
        <v>0</v>
      </c>
      <c r="R139">
        <f t="shared" si="34"/>
        <v>2.0943120638738066</v>
      </c>
      <c r="S139" s="4">
        <f t="shared" si="35"/>
        <v>2.0943120638738066</v>
      </c>
      <c r="T139">
        <f t="shared" si="36"/>
        <v>4.049067651607535</v>
      </c>
      <c r="U139">
        <f t="shared" si="37"/>
        <v>5.5849125804778712</v>
      </c>
      <c r="V139">
        <v>1</v>
      </c>
      <c r="Y139">
        <v>5.3999999999999915</v>
      </c>
      <c r="AB139" s="3"/>
    </row>
    <row r="140" spans="1:28">
      <c r="A140" t="s">
        <v>733</v>
      </c>
      <c r="B140" t="s">
        <v>46</v>
      </c>
      <c r="C140" t="s">
        <v>764</v>
      </c>
      <c r="D140" s="1">
        <v>124.7</v>
      </c>
      <c r="E140" s="1">
        <f t="shared" si="26"/>
        <v>118.7</v>
      </c>
      <c r="F140">
        <v>124.7</v>
      </c>
      <c r="G140" s="1">
        <v>4</v>
      </c>
      <c r="H140">
        <f t="shared" si="27"/>
        <v>6</v>
      </c>
      <c r="I140">
        <f t="shared" si="28"/>
        <v>0.35294117647058826</v>
      </c>
      <c r="J140">
        <f t="shared" si="29"/>
        <v>2.303888170986589</v>
      </c>
      <c r="K140">
        <f t="shared" si="30"/>
        <v>0.70591649737063444</v>
      </c>
      <c r="L140">
        <f t="shared" si="31"/>
        <v>1.5407551591545698</v>
      </c>
      <c r="M140" s="4">
        <f t="shared" si="32"/>
        <v>1.6263526679964904</v>
      </c>
      <c r="N140">
        <f t="shared" si="33"/>
        <v>2.0329408349956131</v>
      </c>
      <c r="O140" cm="1">
        <f t="array" ref="O140:Q140">_xlfn.XLOOKUP(C140, X$2:X$7, AG$2:AI$7)</f>
        <v>3.22</v>
      </c>
      <c r="P140">
        <v>-0.14799999999999999</v>
      </c>
      <c r="Q140">
        <v>0</v>
      </c>
      <c r="R140">
        <f t="shared" si="34"/>
        <v>2.0788559385760235</v>
      </c>
      <c r="S140" s="4">
        <f t="shared" si="35"/>
        <v>2.0788559385760235</v>
      </c>
      <c r="T140">
        <f t="shared" si="36"/>
        <v>-0.4525032705795331</v>
      </c>
      <c r="U140">
        <f t="shared" si="37"/>
        <v>-4.5915103580410399E-2</v>
      </c>
      <c r="Y140">
        <v>5.0999999999999943</v>
      </c>
      <c r="AB140" s="3"/>
    </row>
    <row r="141" spans="1:28">
      <c r="A141" t="s">
        <v>214</v>
      </c>
      <c r="B141" t="s">
        <v>50</v>
      </c>
      <c r="C141" t="s">
        <v>407</v>
      </c>
      <c r="D141" s="1">
        <v>116.9</v>
      </c>
      <c r="E141" s="1">
        <f t="shared" si="26"/>
        <v>93.4</v>
      </c>
      <c r="F141">
        <v>118.1</v>
      </c>
      <c r="G141" s="1">
        <v>55</v>
      </c>
      <c r="H141">
        <f t="shared" si="27"/>
        <v>24.699999999999989</v>
      </c>
      <c r="I141">
        <f t="shared" si="28"/>
        <v>1.4529411764705875</v>
      </c>
      <c r="J141">
        <f t="shared" si="29"/>
        <v>6.3676729705614559</v>
      </c>
      <c r="K141">
        <f t="shared" si="30"/>
        <v>0.94226603101549489</v>
      </c>
      <c r="L141">
        <f t="shared" si="31"/>
        <v>5.6842502558926631</v>
      </c>
      <c r="M141" s="4">
        <f t="shared" si="32"/>
        <v>6.0000419367755891</v>
      </c>
      <c r="N141">
        <f t="shared" si="33"/>
        <v>7.5000524209694861</v>
      </c>
      <c r="O141" cm="1">
        <f t="array" ref="O141:Q141">_xlfn.XLOOKUP(C141, X$2:X$7, AG$2:AI$7)</f>
        <v>57.8</v>
      </c>
      <c r="P141">
        <v>-6.4299999999999996E-2</v>
      </c>
      <c r="Q141">
        <v>0</v>
      </c>
      <c r="R141">
        <f t="shared" si="34"/>
        <v>1.963885932327748</v>
      </c>
      <c r="S141" s="4">
        <f t="shared" si="35"/>
        <v>1.963885932327748</v>
      </c>
      <c r="T141">
        <f t="shared" si="36"/>
        <v>4.0361560044478413</v>
      </c>
      <c r="U141">
        <f t="shared" si="37"/>
        <v>5.5361664886417383</v>
      </c>
      <c r="V141">
        <v>1</v>
      </c>
      <c r="Y141">
        <v>3.5999999999999943</v>
      </c>
      <c r="AB141" s="3"/>
    </row>
    <row r="142" spans="1:28">
      <c r="A142" t="s">
        <v>7</v>
      </c>
      <c r="C142" t="s">
        <v>38</v>
      </c>
      <c r="D142" s="1">
        <v>108.4</v>
      </c>
      <c r="E142" s="1">
        <f t="shared" si="26"/>
        <v>90</v>
      </c>
      <c r="F142">
        <v>108.4</v>
      </c>
      <c r="G142" s="1">
        <v>6</v>
      </c>
      <c r="H142">
        <f t="shared" si="27"/>
        <v>18.400000000000006</v>
      </c>
      <c r="I142">
        <f t="shared" si="28"/>
        <v>1.082352941176471</v>
      </c>
      <c r="J142">
        <f t="shared" si="29"/>
        <v>4.9985903910255409</v>
      </c>
      <c r="K142">
        <f t="shared" si="30"/>
        <v>0.79844160049776736</v>
      </c>
      <c r="L142">
        <f t="shared" si="31"/>
        <v>3.7810255377251307</v>
      </c>
      <c r="M142" s="4">
        <f t="shared" si="32"/>
        <v>3.9910825120431936</v>
      </c>
      <c r="N142">
        <f t="shared" si="33"/>
        <v>4.9888531400539922</v>
      </c>
      <c r="O142" cm="1">
        <f t="array" ref="O142:Q142">_xlfn.XLOOKUP(C142, X$2:X$7, AG$2:AI$7)</f>
        <v>6.77</v>
      </c>
      <c r="P142">
        <v>-0.23300000000000001</v>
      </c>
      <c r="Q142">
        <v>0</v>
      </c>
      <c r="R142">
        <f t="shared" si="34"/>
        <v>1.9521619294841073</v>
      </c>
      <c r="S142" s="4">
        <f t="shared" si="35"/>
        <v>1.9521619294841073</v>
      </c>
      <c r="T142">
        <f t="shared" si="36"/>
        <v>2.0389205825590864</v>
      </c>
      <c r="U142">
        <f t="shared" si="37"/>
        <v>3.0366912105698849</v>
      </c>
      <c r="Y142">
        <v>2.9000000000000057</v>
      </c>
      <c r="AB142" s="3"/>
    </row>
    <row r="143" spans="1:28">
      <c r="A143" t="s">
        <v>600</v>
      </c>
      <c r="B143" t="s">
        <v>50</v>
      </c>
      <c r="C143" t="s">
        <v>729</v>
      </c>
      <c r="D143" s="1">
        <v>99</v>
      </c>
      <c r="E143" s="1">
        <f t="shared" si="26"/>
        <v>82.5</v>
      </c>
      <c r="F143">
        <v>101.1</v>
      </c>
      <c r="G143" s="1">
        <v>14</v>
      </c>
      <c r="H143">
        <f t="shared" si="27"/>
        <v>18.599999999999994</v>
      </c>
      <c r="I143">
        <f t="shared" si="28"/>
        <v>1.0941176470588232</v>
      </c>
      <c r="J143">
        <f t="shared" si="29"/>
        <v>5.0420533300584252</v>
      </c>
      <c r="K143">
        <f t="shared" si="30"/>
        <v>1.0909252297006058</v>
      </c>
      <c r="L143">
        <f t="shared" si="31"/>
        <v>5.2110030195063395</v>
      </c>
      <c r="M143" s="4">
        <f t="shared" si="32"/>
        <v>5.5005031872566921</v>
      </c>
      <c r="N143">
        <f t="shared" si="33"/>
        <v>6.8756289840708646</v>
      </c>
      <c r="O143" cm="1">
        <f t="array" ref="O143:Q143">_xlfn.XLOOKUP(C143, X$2:X$7, AG$2:AI$7)</f>
        <v>55.4</v>
      </c>
      <c r="P143">
        <v>-0.253</v>
      </c>
      <c r="Q143">
        <v>0</v>
      </c>
      <c r="R143">
        <f t="shared" si="34"/>
        <v>1.8720160412409534</v>
      </c>
      <c r="S143" s="4">
        <f t="shared" si="35"/>
        <v>1.8720160412409534</v>
      </c>
      <c r="T143">
        <f t="shared" si="36"/>
        <v>3.6284871460157389</v>
      </c>
      <c r="U143">
        <f t="shared" si="37"/>
        <v>5.0036129428299114</v>
      </c>
      <c r="Y143">
        <v>2</v>
      </c>
      <c r="AB143" s="3"/>
    </row>
    <row r="144" spans="1:28">
      <c r="A144" t="s">
        <v>215</v>
      </c>
      <c r="B144" t="s">
        <v>56</v>
      </c>
      <c r="C144" t="s">
        <v>407</v>
      </c>
      <c r="D144" s="1">
        <v>116.9</v>
      </c>
      <c r="E144" s="1">
        <f t="shared" si="26"/>
        <v>93.4</v>
      </c>
      <c r="F144">
        <v>117.9</v>
      </c>
      <c r="G144" s="1">
        <v>56</v>
      </c>
      <c r="H144">
        <f t="shared" si="27"/>
        <v>24.5</v>
      </c>
      <c r="I144">
        <f t="shared" si="28"/>
        <v>1.4411764705882353</v>
      </c>
      <c r="J144">
        <f t="shared" si="29"/>
        <v>6.3242100315285725</v>
      </c>
      <c r="K144">
        <f t="shared" si="30"/>
        <v>0.94226603101549489</v>
      </c>
      <c r="L144">
        <f t="shared" si="31"/>
        <v>5.6454520601527642</v>
      </c>
      <c r="M144" s="4">
        <f t="shared" si="32"/>
        <v>5.9590882857168062</v>
      </c>
      <c r="N144">
        <f t="shared" si="33"/>
        <v>7.4488603571460077</v>
      </c>
      <c r="O144" cm="1">
        <f t="array" ref="O144:Q144">_xlfn.XLOOKUP(C144, X$2:X$7, AG$2:AI$7)</f>
        <v>57.8</v>
      </c>
      <c r="P144">
        <v>-6.4299999999999996E-2</v>
      </c>
      <c r="Q144">
        <v>0</v>
      </c>
      <c r="R144">
        <f t="shared" si="34"/>
        <v>1.8415822654723646</v>
      </c>
      <c r="S144" s="4">
        <f t="shared" si="35"/>
        <v>1.8415822654723646</v>
      </c>
      <c r="T144">
        <f t="shared" si="36"/>
        <v>4.1175060202444413</v>
      </c>
      <c r="U144">
        <f t="shared" si="37"/>
        <v>5.6072780916736429</v>
      </c>
      <c r="V144">
        <v>1</v>
      </c>
      <c r="Y144">
        <v>1.1999999999999886</v>
      </c>
      <c r="AB144" s="3"/>
    </row>
    <row r="145" spans="1:28">
      <c r="A145" t="s">
        <v>81</v>
      </c>
      <c r="B145" t="s">
        <v>82</v>
      </c>
      <c r="C145" t="s">
        <v>159</v>
      </c>
      <c r="D145" s="1">
        <v>228</v>
      </c>
      <c r="E145" s="1">
        <f t="shared" si="26"/>
        <v>190</v>
      </c>
      <c r="F145">
        <v>247.8</v>
      </c>
      <c r="G145" s="1">
        <v>22</v>
      </c>
      <c r="H145">
        <f t="shared" si="27"/>
        <v>57.800000000000011</v>
      </c>
      <c r="I145">
        <f t="shared" si="28"/>
        <v>3.4000000000000008</v>
      </c>
      <c r="J145">
        <f t="shared" si="29"/>
        <v>13.560789380504145</v>
      </c>
      <c r="K145">
        <f t="shared" si="30"/>
        <v>0.57566309754037293</v>
      </c>
      <c r="L145">
        <f t="shared" si="31"/>
        <v>7.3955804398802636</v>
      </c>
      <c r="M145" s="4">
        <f t="shared" si="32"/>
        <v>7.8064460198736114</v>
      </c>
      <c r="N145">
        <f t="shared" si="33"/>
        <v>9.7580575248420143</v>
      </c>
      <c r="O145" cm="1">
        <f t="array" ref="O145:Q145">_xlfn.XLOOKUP(C145, X$2:X$7, AG$2:AI$7)</f>
        <v>56.4</v>
      </c>
      <c r="P145">
        <v>-0.16300000000000001</v>
      </c>
      <c r="Q145">
        <v>0</v>
      </c>
      <c r="R145">
        <f t="shared" si="34"/>
        <v>1.8237694977308039</v>
      </c>
      <c r="S145" s="4">
        <f t="shared" si="35"/>
        <v>1.8237694977308039</v>
      </c>
      <c r="T145">
        <f t="shared" si="36"/>
        <v>5.9826765221428078</v>
      </c>
      <c r="U145">
        <f t="shared" si="37"/>
        <v>7.9342880271112106</v>
      </c>
      <c r="Y145">
        <v>0</v>
      </c>
      <c r="AB145" s="3"/>
    </row>
    <row r="146" spans="1:28">
      <c r="A146" t="s">
        <v>734</v>
      </c>
      <c r="B146" t="s">
        <v>48</v>
      </c>
      <c r="C146" t="s">
        <v>764</v>
      </c>
      <c r="D146" s="1">
        <v>124.7</v>
      </c>
      <c r="E146" s="1">
        <f t="shared" si="26"/>
        <v>118.7</v>
      </c>
      <c r="F146">
        <v>122.5</v>
      </c>
      <c r="G146" s="1">
        <v>5</v>
      </c>
      <c r="H146">
        <f t="shared" si="27"/>
        <v>3.7999999999999972</v>
      </c>
      <c r="I146">
        <f t="shared" si="28"/>
        <v>0.22352941176470573</v>
      </c>
      <c r="J146">
        <f t="shared" si="29"/>
        <v>1.8257958416248392</v>
      </c>
      <c r="K146">
        <f t="shared" si="30"/>
        <v>0.70591649737063444</v>
      </c>
      <c r="L146">
        <f t="shared" si="31"/>
        <v>1.2210246998845353</v>
      </c>
      <c r="M146" s="4">
        <f t="shared" si="32"/>
        <v>1.2888594054336762</v>
      </c>
      <c r="N146">
        <f t="shared" si="33"/>
        <v>1.6110742567920953</v>
      </c>
      <c r="O146" cm="1">
        <f t="array" ref="O146:Q146">_xlfn.XLOOKUP(C146, X$2:X$7, AG$2:AI$7)</f>
        <v>3.22</v>
      </c>
      <c r="P146">
        <v>-0.14799999999999999</v>
      </c>
      <c r="Q146">
        <v>0</v>
      </c>
      <c r="R146">
        <f t="shared" si="34"/>
        <v>1.7928700449100119</v>
      </c>
      <c r="S146" s="4">
        <f t="shared" si="35"/>
        <v>1.7928700449100119</v>
      </c>
      <c r="T146">
        <f t="shared" si="36"/>
        <v>-0.50401063947633573</v>
      </c>
      <c r="U146">
        <f t="shared" si="37"/>
        <v>-0.18179578811791663</v>
      </c>
      <c r="Y146">
        <v>-1.5</v>
      </c>
      <c r="AB146" s="3"/>
    </row>
    <row r="147" spans="1:28">
      <c r="A147" t="s">
        <v>216</v>
      </c>
      <c r="B147" t="s">
        <v>86</v>
      </c>
      <c r="C147" t="s">
        <v>407</v>
      </c>
      <c r="D147" s="1">
        <v>116.9</v>
      </c>
      <c r="E147" s="1">
        <f t="shared" si="26"/>
        <v>93.4</v>
      </c>
      <c r="F147">
        <v>116.9</v>
      </c>
      <c r="G147" s="1">
        <v>57</v>
      </c>
      <c r="H147">
        <f t="shared" si="27"/>
        <v>23.5</v>
      </c>
      <c r="I147">
        <f t="shared" si="28"/>
        <v>1.3823529411764706</v>
      </c>
      <c r="J147">
        <f t="shared" si="29"/>
        <v>6.1068953363641407</v>
      </c>
      <c r="K147">
        <f t="shared" si="30"/>
        <v>0.94226603101549489</v>
      </c>
      <c r="L147">
        <f t="shared" si="31"/>
        <v>5.4514610814532505</v>
      </c>
      <c r="M147" s="4">
        <f t="shared" si="32"/>
        <v>5.7543200304228748</v>
      </c>
      <c r="N147">
        <f t="shared" si="33"/>
        <v>7.1929000380285935</v>
      </c>
      <c r="O147" cm="1">
        <f t="array" ref="O147:Q147">_xlfn.XLOOKUP(C147, X$2:X$7, AG$2:AI$7)</f>
        <v>57.8</v>
      </c>
      <c r="P147">
        <v>-6.4299999999999996E-2</v>
      </c>
      <c r="Q147">
        <v>0</v>
      </c>
      <c r="R147">
        <f t="shared" si="34"/>
        <v>1.7268952257744155</v>
      </c>
      <c r="S147" s="4">
        <f t="shared" si="35"/>
        <v>1.7268952257744155</v>
      </c>
      <c r="T147">
        <f t="shared" si="36"/>
        <v>4.0274248046484598</v>
      </c>
      <c r="U147">
        <f t="shared" si="37"/>
        <v>5.4660048122541784</v>
      </c>
      <c r="V147">
        <v>1</v>
      </c>
      <c r="Y147">
        <v>-3</v>
      </c>
      <c r="AB147" s="3"/>
    </row>
    <row r="148" spans="1:28">
      <c r="A148" t="s">
        <v>452</v>
      </c>
      <c r="B148" t="s">
        <v>40</v>
      </c>
      <c r="C148" t="s">
        <v>586</v>
      </c>
      <c r="D148" s="1">
        <v>107.9</v>
      </c>
      <c r="E148" s="1">
        <f t="shared" si="26"/>
        <v>73</v>
      </c>
      <c r="F148">
        <v>101.3</v>
      </c>
      <c r="G148" s="1">
        <v>45</v>
      </c>
      <c r="H148">
        <f t="shared" si="27"/>
        <v>28.299999999999997</v>
      </c>
      <c r="I148">
        <f t="shared" si="28"/>
        <v>1.664705882352941</v>
      </c>
      <c r="J148">
        <f t="shared" si="29"/>
        <v>7.1500058731534111</v>
      </c>
      <c r="K148">
        <f t="shared" si="30"/>
        <v>1.0011070456397422</v>
      </c>
      <c r="L148">
        <f t="shared" si="31"/>
        <v>6.7811885582962894</v>
      </c>
      <c r="M148" s="4">
        <f t="shared" si="32"/>
        <v>7.1579212559794163</v>
      </c>
      <c r="N148">
        <f t="shared" si="33"/>
        <v>8.9474015699742697</v>
      </c>
      <c r="O148" cm="1">
        <f t="array" ref="O148:Q148">_xlfn.XLOOKUP(C148, X$2:X$7, AG$2:AI$7)</f>
        <v>5.0900000000000001E-2</v>
      </c>
      <c r="P148">
        <v>-3.9</v>
      </c>
      <c r="Q148">
        <v>73.900000000000006</v>
      </c>
      <c r="R148">
        <f t="shared" si="34"/>
        <v>1.7184075000000127</v>
      </c>
      <c r="S148" s="4">
        <f t="shared" si="35"/>
        <v>1.7184075000000127</v>
      </c>
      <c r="T148">
        <f t="shared" si="36"/>
        <v>5.4395137559794033</v>
      </c>
      <c r="U148">
        <f t="shared" si="37"/>
        <v>7.2289940699742568</v>
      </c>
      <c r="Y148">
        <v>-4.6000000000000085</v>
      </c>
      <c r="AB148" s="3"/>
    </row>
    <row r="149" spans="1:28">
      <c r="A149" t="s">
        <v>217</v>
      </c>
      <c r="B149" t="s">
        <v>52</v>
      </c>
      <c r="C149" t="s">
        <v>407</v>
      </c>
      <c r="D149" s="1">
        <v>116.9</v>
      </c>
      <c r="E149" s="1">
        <f t="shared" si="26"/>
        <v>93.4</v>
      </c>
      <c r="F149">
        <v>116.1</v>
      </c>
      <c r="G149" s="1">
        <v>58</v>
      </c>
      <c r="H149">
        <f t="shared" si="27"/>
        <v>22.699999999999989</v>
      </c>
      <c r="I149">
        <f t="shared" si="28"/>
        <v>1.3352941176470581</v>
      </c>
      <c r="J149">
        <f t="shared" si="29"/>
        <v>5.9330435802325932</v>
      </c>
      <c r="K149">
        <f t="shared" si="30"/>
        <v>0.94226603101549489</v>
      </c>
      <c r="L149">
        <f t="shared" si="31"/>
        <v>5.2962682984936365</v>
      </c>
      <c r="M149" s="4">
        <f t="shared" si="32"/>
        <v>5.5905054261877272</v>
      </c>
      <c r="N149">
        <f t="shared" si="33"/>
        <v>6.9881317827346585</v>
      </c>
      <c r="O149" cm="1">
        <f t="array" ref="O149:Q149">_xlfn.XLOOKUP(C149, X$2:X$7, AG$2:AI$7)</f>
        <v>57.8</v>
      </c>
      <c r="P149">
        <v>-6.4299999999999996E-2</v>
      </c>
      <c r="Q149">
        <v>0</v>
      </c>
      <c r="R149">
        <f t="shared" si="34"/>
        <v>1.6193504774208645</v>
      </c>
      <c r="S149" s="4">
        <f t="shared" si="35"/>
        <v>1.6193504774208645</v>
      </c>
      <c r="T149">
        <f t="shared" si="36"/>
        <v>3.9711549487668627</v>
      </c>
      <c r="U149">
        <f t="shared" si="37"/>
        <v>5.368781305313794</v>
      </c>
      <c r="Y149">
        <v>-5.4000000000000057</v>
      </c>
      <c r="AB149" s="3"/>
    </row>
    <row r="150" spans="1:28">
      <c r="A150" t="s">
        <v>83</v>
      </c>
      <c r="B150" t="s">
        <v>84</v>
      </c>
      <c r="C150" t="s">
        <v>159</v>
      </c>
      <c r="D150" s="1">
        <v>228</v>
      </c>
      <c r="E150" s="1">
        <f t="shared" si="26"/>
        <v>190</v>
      </c>
      <c r="F150">
        <v>243.2</v>
      </c>
      <c r="G150" s="1">
        <v>23</v>
      </c>
      <c r="H150">
        <f t="shared" si="27"/>
        <v>53.199999999999989</v>
      </c>
      <c r="I150">
        <f t="shared" si="28"/>
        <v>3.1294117647058819</v>
      </c>
      <c r="J150">
        <f t="shared" si="29"/>
        <v>12.561141782747756</v>
      </c>
      <c r="K150">
        <f t="shared" si="30"/>
        <v>0.57566309754037293</v>
      </c>
      <c r="L150">
        <f t="shared" si="31"/>
        <v>6.8504075879687756</v>
      </c>
      <c r="M150" s="4">
        <f t="shared" si="32"/>
        <v>7.2309857873003747</v>
      </c>
      <c r="N150">
        <f t="shared" si="33"/>
        <v>9.0387322341254688</v>
      </c>
      <c r="O150" cm="1">
        <f t="array" ref="O150:Q150">_xlfn.XLOOKUP(C150, X$2:X$7, AG$2:AI$7)</f>
        <v>56.4</v>
      </c>
      <c r="P150">
        <v>-0.16300000000000001</v>
      </c>
      <c r="Q150">
        <v>0</v>
      </c>
      <c r="R150">
        <f t="shared" si="34"/>
        <v>1.5494584949713945</v>
      </c>
      <c r="S150" s="4">
        <f t="shared" si="35"/>
        <v>1.5494584949713945</v>
      </c>
      <c r="T150">
        <f t="shared" si="36"/>
        <v>5.6815272923289797</v>
      </c>
      <c r="U150">
        <f t="shared" si="37"/>
        <v>7.4892737391540738</v>
      </c>
      <c r="Y150">
        <v>-5.9000000000000057</v>
      </c>
      <c r="AB150" s="3"/>
    </row>
    <row r="151" spans="1:28">
      <c r="A151" t="s">
        <v>8</v>
      </c>
      <c r="C151" t="s">
        <v>38</v>
      </c>
      <c r="D151" s="1">
        <v>108.4</v>
      </c>
      <c r="E151" s="1">
        <f t="shared" si="26"/>
        <v>90</v>
      </c>
      <c r="F151">
        <v>108.2</v>
      </c>
      <c r="G151" s="1">
        <v>7</v>
      </c>
      <c r="H151">
        <f t="shared" si="27"/>
        <v>18.200000000000003</v>
      </c>
      <c r="I151">
        <f t="shared" si="28"/>
        <v>1.0705882352941178</v>
      </c>
      <c r="J151">
        <f t="shared" si="29"/>
        <v>4.955127451992654</v>
      </c>
      <c r="K151">
        <f t="shared" si="30"/>
        <v>0.79844160049776736</v>
      </c>
      <c r="L151">
        <f t="shared" si="31"/>
        <v>3.7481493727321</v>
      </c>
      <c r="M151" s="4">
        <f t="shared" si="32"/>
        <v>3.9563798934394385</v>
      </c>
      <c r="N151">
        <f t="shared" si="33"/>
        <v>4.945474866799298</v>
      </c>
      <c r="O151" cm="1">
        <f t="array" ref="O151:Q151">_xlfn.XLOOKUP(C151, X$2:X$7, AG$2:AI$7)</f>
        <v>6.77</v>
      </c>
      <c r="P151">
        <v>-0.23300000000000001</v>
      </c>
      <c r="Q151">
        <v>0</v>
      </c>
      <c r="R151">
        <f t="shared" si="34"/>
        <v>1.5464120485389556</v>
      </c>
      <c r="S151" s="4">
        <f t="shared" si="35"/>
        <v>1.5464120485389556</v>
      </c>
      <c r="T151">
        <f t="shared" si="36"/>
        <v>2.4099678449004829</v>
      </c>
      <c r="U151">
        <f t="shared" si="37"/>
        <v>3.3990628182603424</v>
      </c>
      <c r="Y151">
        <v>-6.6000000000000085</v>
      </c>
      <c r="AB151" s="3"/>
    </row>
    <row r="152" spans="1:28">
      <c r="A152" t="s">
        <v>735</v>
      </c>
      <c r="B152" t="s">
        <v>64</v>
      </c>
      <c r="C152" t="s">
        <v>764</v>
      </c>
      <c r="D152" s="1">
        <v>124.7</v>
      </c>
      <c r="E152" s="1">
        <f t="shared" si="26"/>
        <v>118.7</v>
      </c>
      <c r="F152">
        <v>122.5</v>
      </c>
      <c r="G152" s="1">
        <v>6</v>
      </c>
      <c r="H152">
        <f t="shared" si="27"/>
        <v>3.7999999999999972</v>
      </c>
      <c r="I152">
        <f t="shared" si="28"/>
        <v>0.22352941176470573</v>
      </c>
      <c r="J152">
        <f t="shared" si="29"/>
        <v>1.8257958416248392</v>
      </c>
      <c r="K152">
        <f t="shared" si="30"/>
        <v>0.70591649737063444</v>
      </c>
      <c r="L152">
        <f t="shared" si="31"/>
        <v>1.2210246998845353</v>
      </c>
      <c r="M152" s="4">
        <f t="shared" si="32"/>
        <v>1.2888594054336762</v>
      </c>
      <c r="N152">
        <f t="shared" si="33"/>
        <v>1.6110742567920953</v>
      </c>
      <c r="O152" cm="1">
        <f t="array" ref="O152:Q152">_xlfn.XLOOKUP(C152, X$2:X$7, AG$2:AI$7)</f>
        <v>3.22</v>
      </c>
      <c r="P152">
        <v>-0.14799999999999999</v>
      </c>
      <c r="Q152">
        <v>0</v>
      </c>
      <c r="R152">
        <f t="shared" si="34"/>
        <v>1.546226911777937</v>
      </c>
      <c r="S152" s="4">
        <f t="shared" si="35"/>
        <v>1.546226911777937</v>
      </c>
      <c r="T152">
        <f t="shared" si="36"/>
        <v>-0.25736750634426087</v>
      </c>
      <c r="U152">
        <f t="shared" si="37"/>
        <v>6.4847345014158231E-2</v>
      </c>
      <c r="Y152">
        <v>-8.3000000000000114</v>
      </c>
      <c r="AB152" s="3"/>
    </row>
    <row r="153" spans="1:28">
      <c r="A153" t="s">
        <v>218</v>
      </c>
      <c r="B153" t="s">
        <v>86</v>
      </c>
      <c r="C153" t="s">
        <v>407</v>
      </c>
      <c r="D153" s="1">
        <v>116.9</v>
      </c>
      <c r="E153" s="1">
        <f t="shared" si="26"/>
        <v>93.4</v>
      </c>
      <c r="F153">
        <v>115</v>
      </c>
      <c r="G153" s="1">
        <v>59</v>
      </c>
      <c r="H153">
        <f t="shared" si="27"/>
        <v>21.599999999999994</v>
      </c>
      <c r="I153">
        <f t="shared" si="28"/>
        <v>1.2705882352941174</v>
      </c>
      <c r="J153">
        <f t="shared" si="29"/>
        <v>5.6939974155517197</v>
      </c>
      <c r="K153">
        <f t="shared" si="30"/>
        <v>0.94226603101549489</v>
      </c>
      <c r="L153">
        <f t="shared" si="31"/>
        <v>5.0828782219241724</v>
      </c>
      <c r="M153" s="4">
        <f t="shared" si="32"/>
        <v>5.3652603453644048</v>
      </c>
      <c r="N153">
        <f t="shared" si="33"/>
        <v>6.706575431705506</v>
      </c>
      <c r="O153" cm="1">
        <f t="array" ref="O153:Q153">_xlfn.XLOOKUP(C153, X$2:X$7, AG$2:AI$7)</f>
        <v>57.8</v>
      </c>
      <c r="P153">
        <v>-6.4299999999999996E-2</v>
      </c>
      <c r="Q153">
        <v>0</v>
      </c>
      <c r="R153">
        <f t="shared" si="34"/>
        <v>1.5185032245064134</v>
      </c>
      <c r="S153" s="4">
        <f t="shared" si="35"/>
        <v>1.5185032245064134</v>
      </c>
      <c r="T153">
        <f t="shared" si="36"/>
        <v>3.8467571208579914</v>
      </c>
      <c r="U153">
        <f t="shared" si="37"/>
        <v>5.1880722071990926</v>
      </c>
      <c r="Y153">
        <v>-9.2000000000000028</v>
      </c>
      <c r="AB153" s="3"/>
    </row>
    <row r="154" spans="1:28">
      <c r="A154" t="s">
        <v>601</v>
      </c>
      <c r="B154" t="s">
        <v>52</v>
      </c>
      <c r="C154" t="s">
        <v>729</v>
      </c>
      <c r="D154" s="1">
        <v>99</v>
      </c>
      <c r="E154" s="1">
        <f t="shared" si="26"/>
        <v>82.5</v>
      </c>
      <c r="F154">
        <v>99</v>
      </c>
      <c r="G154" s="1">
        <v>15</v>
      </c>
      <c r="H154">
        <f t="shared" si="27"/>
        <v>16.5</v>
      </c>
      <c r="I154">
        <f t="shared" si="28"/>
        <v>0.97058823529411764</v>
      </c>
      <c r="J154">
        <f t="shared" si="29"/>
        <v>4.5856924702131199</v>
      </c>
      <c r="K154">
        <f t="shared" si="30"/>
        <v>1.0909252297006058</v>
      </c>
      <c r="L154">
        <f t="shared" si="31"/>
        <v>4.7393503686981342</v>
      </c>
      <c r="M154" s="4">
        <f t="shared" si="32"/>
        <v>5.002647611403586</v>
      </c>
      <c r="N154">
        <f t="shared" si="33"/>
        <v>6.2533095142544823</v>
      </c>
      <c r="O154" cm="1">
        <f t="array" ref="O154:Q154">_xlfn.XLOOKUP(C154, X$2:X$7, AG$2:AI$7)</f>
        <v>55.4</v>
      </c>
      <c r="P154">
        <v>-0.253</v>
      </c>
      <c r="Q154">
        <v>0</v>
      </c>
      <c r="R154">
        <f t="shared" si="34"/>
        <v>1.453560330282422</v>
      </c>
      <c r="S154" s="4">
        <f t="shared" si="35"/>
        <v>1.453560330282422</v>
      </c>
      <c r="T154">
        <f t="shared" si="36"/>
        <v>3.5490872811211638</v>
      </c>
      <c r="U154">
        <f t="shared" si="37"/>
        <v>4.7997491839720601</v>
      </c>
      <c r="Y154">
        <v>-10.5</v>
      </c>
      <c r="AB154" s="3"/>
    </row>
    <row r="155" spans="1:28">
      <c r="A155" t="s">
        <v>439</v>
      </c>
      <c r="B155" t="s">
        <v>66</v>
      </c>
      <c r="C155" t="s">
        <v>586</v>
      </c>
      <c r="D155" s="1">
        <v>107.9</v>
      </c>
      <c r="E155" s="1">
        <f t="shared" si="26"/>
        <v>73</v>
      </c>
      <c r="F155">
        <v>141.80000000000001</v>
      </c>
      <c r="G155" s="1">
        <v>32</v>
      </c>
      <c r="H155">
        <f t="shared" si="27"/>
        <v>68.800000000000011</v>
      </c>
      <c r="I155">
        <f t="shared" si="28"/>
        <v>4.0470588235294125</v>
      </c>
      <c r="J155">
        <f t="shared" si="29"/>
        <v>15.951251027312891</v>
      </c>
      <c r="K155">
        <f t="shared" si="30"/>
        <v>1.0011070456397422</v>
      </c>
      <c r="L155">
        <f t="shared" si="31"/>
        <v>15.128440853884209</v>
      </c>
      <c r="M155" s="4">
        <f t="shared" si="32"/>
        <v>15.968909790211111</v>
      </c>
      <c r="N155">
        <f t="shared" si="33"/>
        <v>19.961137237763889</v>
      </c>
      <c r="O155" cm="1">
        <f t="array" ref="O155:Q155">_xlfn.XLOOKUP(C155, X$2:X$7, AG$2:AI$7)</f>
        <v>5.0900000000000001E-2</v>
      </c>
      <c r="P155">
        <v>-3.9</v>
      </c>
      <c r="Q155">
        <v>73.900000000000006</v>
      </c>
      <c r="R155">
        <f t="shared" si="34"/>
        <v>1.4256072000000108</v>
      </c>
      <c r="S155" s="4">
        <f t="shared" si="35"/>
        <v>1.4256072000000108</v>
      </c>
      <c r="T155">
        <f t="shared" si="36"/>
        <v>14.5433025902111</v>
      </c>
      <c r="U155">
        <f t="shared" si="37"/>
        <v>18.535530037763877</v>
      </c>
      <c r="Y155">
        <v>-11.300000000000011</v>
      </c>
      <c r="AB155" s="3"/>
    </row>
    <row r="156" spans="1:28">
      <c r="A156" t="s">
        <v>219</v>
      </c>
      <c r="B156" t="s">
        <v>40</v>
      </c>
      <c r="C156" t="s">
        <v>407</v>
      </c>
      <c r="D156" s="1">
        <v>116.9</v>
      </c>
      <c r="E156" s="1">
        <f t="shared" si="26"/>
        <v>93.4</v>
      </c>
      <c r="F156">
        <v>114.9</v>
      </c>
      <c r="G156" s="1">
        <v>60</v>
      </c>
      <c r="H156">
        <f t="shared" si="27"/>
        <v>21.5</v>
      </c>
      <c r="I156">
        <f t="shared" si="28"/>
        <v>1.2647058823529411</v>
      </c>
      <c r="J156">
        <f t="shared" si="29"/>
        <v>5.6722659460352771</v>
      </c>
      <c r="K156">
        <f t="shared" si="30"/>
        <v>0.94226603101549489</v>
      </c>
      <c r="L156">
        <f t="shared" si="31"/>
        <v>5.0634791240542221</v>
      </c>
      <c r="M156" s="4">
        <f t="shared" si="32"/>
        <v>5.344783519835012</v>
      </c>
      <c r="N156">
        <f t="shared" si="33"/>
        <v>6.680979399793765</v>
      </c>
      <c r="O156" cm="1">
        <f t="array" ref="O156:Q156">_xlfn.XLOOKUP(C156, X$2:X$7, AG$2:AI$7)</f>
        <v>57.8</v>
      </c>
      <c r="P156">
        <v>-6.4299999999999996E-2</v>
      </c>
      <c r="Q156">
        <v>0</v>
      </c>
      <c r="R156">
        <f t="shared" si="34"/>
        <v>1.4239363713955862</v>
      </c>
      <c r="S156" s="4">
        <f t="shared" si="35"/>
        <v>1.4239363713955862</v>
      </c>
      <c r="T156">
        <f t="shared" si="36"/>
        <v>3.9208471484394258</v>
      </c>
      <c r="U156">
        <f t="shared" si="37"/>
        <v>5.2570430283981793</v>
      </c>
      <c r="V156">
        <v>1</v>
      </c>
      <c r="Y156">
        <v>-16.800000000000011</v>
      </c>
      <c r="AB156" s="3"/>
    </row>
    <row r="157" spans="1:28">
      <c r="A157" t="s">
        <v>220</v>
      </c>
      <c r="B157" t="s">
        <v>40</v>
      </c>
      <c r="C157" t="s">
        <v>407</v>
      </c>
      <c r="D157" s="1">
        <v>116.9</v>
      </c>
      <c r="E157" s="1">
        <f t="shared" si="26"/>
        <v>93.4</v>
      </c>
      <c r="F157">
        <v>113.2</v>
      </c>
      <c r="G157" s="1">
        <v>61</v>
      </c>
      <c r="H157">
        <f t="shared" si="27"/>
        <v>19.799999999999997</v>
      </c>
      <c r="I157">
        <f t="shared" si="28"/>
        <v>1.164705882352941</v>
      </c>
      <c r="J157">
        <f t="shared" si="29"/>
        <v>5.3028309642557439</v>
      </c>
      <c r="K157">
        <f t="shared" si="30"/>
        <v>0.94226603101549489</v>
      </c>
      <c r="L157">
        <f t="shared" si="31"/>
        <v>4.733694460265049</v>
      </c>
      <c r="M157" s="4">
        <f t="shared" si="32"/>
        <v>4.9966774858353293</v>
      </c>
      <c r="N157">
        <f t="shared" si="33"/>
        <v>6.2458468572941612</v>
      </c>
      <c r="O157" cm="1">
        <f t="array" ref="O157:Q157">_xlfn.XLOOKUP(C157, X$2:X$7, AG$2:AI$7)</f>
        <v>57.8</v>
      </c>
      <c r="P157">
        <v>-6.4299999999999996E-2</v>
      </c>
      <c r="Q157">
        <v>0</v>
      </c>
      <c r="R157">
        <f t="shared" si="34"/>
        <v>1.3352587976507551</v>
      </c>
      <c r="S157" s="4">
        <f t="shared" si="35"/>
        <v>1.3352587976507551</v>
      </c>
      <c r="T157">
        <f t="shared" si="36"/>
        <v>3.6614186881845745</v>
      </c>
      <c r="U157">
        <f t="shared" si="37"/>
        <v>4.9105880596434064</v>
      </c>
      <c r="Y157">
        <v>-17.200000000000003</v>
      </c>
      <c r="AB157" s="3"/>
    </row>
    <row r="158" spans="1:28">
      <c r="A158" t="s">
        <v>736</v>
      </c>
      <c r="B158" t="s">
        <v>60</v>
      </c>
      <c r="C158" t="s">
        <v>764</v>
      </c>
      <c r="D158" s="1">
        <v>124.7</v>
      </c>
      <c r="E158" s="1">
        <f t="shared" si="26"/>
        <v>118.7</v>
      </c>
      <c r="F158">
        <v>122.2</v>
      </c>
      <c r="G158" s="1">
        <v>7</v>
      </c>
      <c r="H158">
        <f t="shared" si="27"/>
        <v>3.5</v>
      </c>
      <c r="I158">
        <f t="shared" si="28"/>
        <v>0.20588235294117646</v>
      </c>
      <c r="J158">
        <f t="shared" si="29"/>
        <v>1.7606014330755104</v>
      </c>
      <c r="K158">
        <f t="shared" si="30"/>
        <v>0.70591649737063444</v>
      </c>
      <c r="L158">
        <f t="shared" si="31"/>
        <v>1.1774250918022584</v>
      </c>
      <c r="M158" s="4">
        <f t="shared" si="32"/>
        <v>1.2428375969023837</v>
      </c>
      <c r="N158">
        <f t="shared" si="33"/>
        <v>1.5535469961279795</v>
      </c>
      <c r="O158" cm="1">
        <f t="array" ref="O158:Q158">_xlfn.XLOOKUP(C158, X$2:X$7, AG$2:AI$7)</f>
        <v>3.22</v>
      </c>
      <c r="P158">
        <v>-0.14799999999999999</v>
      </c>
      <c r="Q158">
        <v>0</v>
      </c>
      <c r="R158">
        <f t="shared" si="34"/>
        <v>1.3335141994780417</v>
      </c>
      <c r="S158" s="4">
        <f t="shared" si="35"/>
        <v>1.3335141994780417</v>
      </c>
      <c r="T158">
        <f t="shared" si="36"/>
        <v>-9.0676602575658016E-2</v>
      </c>
      <c r="U158">
        <f t="shared" si="37"/>
        <v>0.2200327966499378</v>
      </c>
      <c r="Y158">
        <v>-20.600000000000009</v>
      </c>
      <c r="AB158" s="3"/>
    </row>
    <row r="159" spans="1:28">
      <c r="A159" t="s">
        <v>85</v>
      </c>
      <c r="B159" t="s">
        <v>86</v>
      </c>
      <c r="C159" t="s">
        <v>159</v>
      </c>
      <c r="D159" s="1">
        <v>228</v>
      </c>
      <c r="E159" s="1">
        <f t="shared" si="26"/>
        <v>190</v>
      </c>
      <c r="F159">
        <v>238.2</v>
      </c>
      <c r="G159" s="1">
        <v>24</v>
      </c>
      <c r="H159">
        <f t="shared" si="27"/>
        <v>48.199999999999989</v>
      </c>
      <c r="I159">
        <f t="shared" si="28"/>
        <v>2.8352941176470581</v>
      </c>
      <c r="J159">
        <f t="shared" si="29"/>
        <v>11.474568306925596</v>
      </c>
      <c r="K159">
        <f t="shared" si="30"/>
        <v>0.57566309754037293</v>
      </c>
      <c r="L159">
        <f t="shared" si="31"/>
        <v>6.2578284011084664</v>
      </c>
      <c r="M159" s="4">
        <f t="shared" si="32"/>
        <v>6.6054855345033809</v>
      </c>
      <c r="N159">
        <f t="shared" si="33"/>
        <v>8.2568569181292268</v>
      </c>
      <c r="O159" cm="1">
        <f t="array" ref="O159:Q159">_xlfn.XLOOKUP(C159, X$2:X$7, AG$2:AI$7)</f>
        <v>56.4</v>
      </c>
      <c r="P159">
        <v>-0.16300000000000001</v>
      </c>
      <c r="Q159">
        <v>0</v>
      </c>
      <c r="R159">
        <f t="shared" si="34"/>
        <v>1.3164062841418298</v>
      </c>
      <c r="S159" s="4">
        <f t="shared" si="35"/>
        <v>1.3164062841418298</v>
      </c>
      <c r="T159">
        <f t="shared" si="36"/>
        <v>5.2890792503615511</v>
      </c>
      <c r="U159">
        <f t="shared" si="37"/>
        <v>6.940450633987397</v>
      </c>
      <c r="Y159">
        <v>-21</v>
      </c>
      <c r="AB159" s="3"/>
    </row>
    <row r="160" spans="1:28">
      <c r="A160" t="s">
        <v>221</v>
      </c>
      <c r="B160" t="s">
        <v>94</v>
      </c>
      <c r="C160" t="s">
        <v>407</v>
      </c>
      <c r="D160" s="1">
        <v>116.9</v>
      </c>
      <c r="E160" s="1">
        <f t="shared" si="26"/>
        <v>93.4</v>
      </c>
      <c r="F160">
        <v>112</v>
      </c>
      <c r="G160" s="1">
        <v>62</v>
      </c>
      <c r="H160">
        <f t="shared" si="27"/>
        <v>18.599999999999994</v>
      </c>
      <c r="I160">
        <f t="shared" si="28"/>
        <v>1.0941176470588232</v>
      </c>
      <c r="J160">
        <f t="shared" si="29"/>
        <v>5.0420533300584252</v>
      </c>
      <c r="K160">
        <f t="shared" si="30"/>
        <v>0.94226603101549489</v>
      </c>
      <c r="L160">
        <f t="shared" si="31"/>
        <v>4.500905285825632</v>
      </c>
      <c r="M160" s="4">
        <f t="shared" si="32"/>
        <v>4.7509555794826115</v>
      </c>
      <c r="N160">
        <f t="shared" si="33"/>
        <v>5.9386944743532641</v>
      </c>
      <c r="O160" cm="1">
        <f t="array" ref="O160:Q160">_xlfn.XLOOKUP(C160, X$2:X$7, AG$2:AI$7)</f>
        <v>57.8</v>
      </c>
      <c r="P160">
        <v>-6.4299999999999996E-2</v>
      </c>
      <c r="Q160">
        <v>0</v>
      </c>
      <c r="R160">
        <f t="shared" si="34"/>
        <v>1.2521037403913784</v>
      </c>
      <c r="S160" s="4">
        <f t="shared" si="35"/>
        <v>1.2521037403913784</v>
      </c>
      <c r="T160">
        <f t="shared" si="36"/>
        <v>3.4988518390912331</v>
      </c>
      <c r="U160">
        <f t="shared" si="37"/>
        <v>4.6865907339618857</v>
      </c>
      <c r="Y160">
        <v>-23.100000000000009</v>
      </c>
      <c r="AB160" s="3"/>
    </row>
    <row r="161" spans="1:28">
      <c r="A161" t="s">
        <v>9</v>
      </c>
      <c r="C161" t="s">
        <v>38</v>
      </c>
      <c r="D161" s="1">
        <v>108.4</v>
      </c>
      <c r="E161" s="1">
        <f t="shared" si="26"/>
        <v>90</v>
      </c>
      <c r="F161">
        <v>107.4</v>
      </c>
      <c r="G161" s="1">
        <v>8</v>
      </c>
      <c r="H161">
        <f t="shared" si="27"/>
        <v>17.400000000000006</v>
      </c>
      <c r="I161">
        <f t="shared" si="28"/>
        <v>1.0235294117647062</v>
      </c>
      <c r="J161">
        <f t="shared" si="29"/>
        <v>4.78127569586111</v>
      </c>
      <c r="K161">
        <f t="shared" si="30"/>
        <v>0.79844160049776736</v>
      </c>
      <c r="L161">
        <f t="shared" si="31"/>
        <v>3.6166447127599781</v>
      </c>
      <c r="M161" s="4">
        <f t="shared" si="32"/>
        <v>3.8175694190244212</v>
      </c>
      <c r="N161">
        <f t="shared" si="33"/>
        <v>4.7719617737805269</v>
      </c>
      <c r="O161" cm="1">
        <f t="array" ref="O161:Q161">_xlfn.XLOOKUP(C161, X$2:X$7, AG$2:AI$7)</f>
        <v>6.77</v>
      </c>
      <c r="P161">
        <v>-0.23300000000000001</v>
      </c>
      <c r="Q161">
        <v>0</v>
      </c>
      <c r="R161">
        <f t="shared" si="34"/>
        <v>1.2249958303911883</v>
      </c>
      <c r="S161" s="4">
        <f t="shared" si="35"/>
        <v>1.2249958303911883</v>
      </c>
      <c r="T161">
        <f t="shared" si="36"/>
        <v>2.5925735886332326</v>
      </c>
      <c r="U161">
        <f t="shared" si="37"/>
        <v>3.5469659433893383</v>
      </c>
      <c r="Y161">
        <v>-23.800000000000011</v>
      </c>
      <c r="AB161" s="3"/>
    </row>
    <row r="162" spans="1:28">
      <c r="A162" t="s">
        <v>222</v>
      </c>
      <c r="B162" t="s">
        <v>86</v>
      </c>
      <c r="C162" t="s">
        <v>407</v>
      </c>
      <c r="D162" s="1">
        <v>116.9</v>
      </c>
      <c r="E162" s="1">
        <f t="shared" si="26"/>
        <v>93.4</v>
      </c>
      <c r="F162">
        <v>111.9</v>
      </c>
      <c r="G162" s="1">
        <v>63</v>
      </c>
      <c r="H162">
        <f t="shared" si="27"/>
        <v>18.5</v>
      </c>
      <c r="I162">
        <f t="shared" si="28"/>
        <v>1.088235294117647</v>
      </c>
      <c r="J162">
        <f t="shared" si="29"/>
        <v>5.0203218605419826</v>
      </c>
      <c r="K162">
        <f t="shared" si="30"/>
        <v>0.94226603101549489</v>
      </c>
      <c r="L162">
        <f t="shared" si="31"/>
        <v>4.4815061879556808</v>
      </c>
      <c r="M162" s="4">
        <f t="shared" si="32"/>
        <v>4.7304787539532187</v>
      </c>
      <c r="N162">
        <f t="shared" si="33"/>
        <v>5.9130984424415232</v>
      </c>
      <c r="O162" cm="1">
        <f t="array" ref="O162:Q162">_xlfn.XLOOKUP(C162, X$2:X$7, AG$2:AI$7)</f>
        <v>57.8</v>
      </c>
      <c r="P162">
        <v>-6.4299999999999996E-2</v>
      </c>
      <c r="Q162">
        <v>0</v>
      </c>
      <c r="R162">
        <f t="shared" si="34"/>
        <v>1.1741272773940101</v>
      </c>
      <c r="S162" s="4">
        <f t="shared" si="35"/>
        <v>1.1741272773940101</v>
      </c>
      <c r="T162">
        <f t="shared" si="36"/>
        <v>3.5563514765592084</v>
      </c>
      <c r="U162">
        <f t="shared" si="37"/>
        <v>4.7389711650475128</v>
      </c>
      <c r="Y162">
        <v>-25.300000000000011</v>
      </c>
      <c r="AB162" s="3"/>
    </row>
    <row r="163" spans="1:28">
      <c r="A163" t="s">
        <v>737</v>
      </c>
      <c r="B163" t="s">
        <v>52</v>
      </c>
      <c r="C163" t="s">
        <v>764</v>
      </c>
      <c r="D163" s="1">
        <v>124.7</v>
      </c>
      <c r="E163" s="1">
        <f t="shared" si="26"/>
        <v>118.7</v>
      </c>
      <c r="F163">
        <v>121.4</v>
      </c>
      <c r="G163" s="1">
        <v>8</v>
      </c>
      <c r="H163">
        <f t="shared" si="27"/>
        <v>2.7000000000000028</v>
      </c>
      <c r="I163">
        <f t="shared" si="28"/>
        <v>0.15882352941176486</v>
      </c>
      <c r="J163">
        <f t="shared" si="29"/>
        <v>1.5867496769439657</v>
      </c>
      <c r="K163">
        <f t="shared" si="30"/>
        <v>0.70591649737063444</v>
      </c>
      <c r="L163">
        <f t="shared" si="31"/>
        <v>1.0611594702495191</v>
      </c>
      <c r="M163" s="4">
        <f t="shared" si="32"/>
        <v>1.1201127741522701</v>
      </c>
      <c r="N163">
        <f t="shared" si="33"/>
        <v>1.4001409676903376</v>
      </c>
      <c r="O163" cm="1">
        <f t="array" ref="O163:Q163">_xlfn.XLOOKUP(C163, X$2:X$7, AG$2:AI$7)</f>
        <v>3.22</v>
      </c>
      <c r="P163">
        <v>-0.14799999999999999</v>
      </c>
      <c r="Q163">
        <v>0</v>
      </c>
      <c r="R163">
        <f t="shared" si="34"/>
        <v>1.1500641378468968</v>
      </c>
      <c r="S163" s="4">
        <f t="shared" si="35"/>
        <v>1.1500641378468968</v>
      </c>
      <c r="T163">
        <f t="shared" si="36"/>
        <v>-2.9951363694626698E-2</v>
      </c>
      <c r="U163">
        <f t="shared" si="37"/>
        <v>0.25007682984344082</v>
      </c>
      <c r="Y163">
        <v>-25.600000000000009</v>
      </c>
      <c r="AB163" s="3"/>
    </row>
    <row r="164" spans="1:28">
      <c r="A164" t="s">
        <v>602</v>
      </c>
      <c r="B164" t="s">
        <v>70</v>
      </c>
      <c r="C164" t="s">
        <v>729</v>
      </c>
      <c r="D164" s="1">
        <v>99</v>
      </c>
      <c r="E164" s="1">
        <f t="shared" si="26"/>
        <v>82.5</v>
      </c>
      <c r="F164">
        <v>98.5</v>
      </c>
      <c r="G164" s="1">
        <v>16</v>
      </c>
      <c r="H164">
        <f t="shared" si="27"/>
        <v>16</v>
      </c>
      <c r="I164">
        <f t="shared" si="28"/>
        <v>0.94117647058823528</v>
      </c>
      <c r="J164">
        <f t="shared" si="29"/>
        <v>4.4770351226309044</v>
      </c>
      <c r="K164">
        <f t="shared" si="30"/>
        <v>1.0909252297006058</v>
      </c>
      <c r="L164">
        <f t="shared" si="31"/>
        <v>4.6270521185057047</v>
      </c>
      <c r="M164" s="4">
        <f t="shared" si="32"/>
        <v>4.8841105695337994</v>
      </c>
      <c r="N164">
        <f t="shared" si="33"/>
        <v>6.1051382119172493</v>
      </c>
      <c r="O164" cm="1">
        <f t="array" ref="O164:Q164">_xlfn.XLOOKUP(C164, X$2:X$7, AG$2:AI$7)</f>
        <v>55.4</v>
      </c>
      <c r="P164">
        <v>-0.253</v>
      </c>
      <c r="Q164">
        <v>0</v>
      </c>
      <c r="R164">
        <f t="shared" si="34"/>
        <v>1.128642910757405</v>
      </c>
      <c r="S164" s="4">
        <f t="shared" si="35"/>
        <v>1.128642910757405</v>
      </c>
      <c r="T164">
        <f t="shared" si="36"/>
        <v>3.7554676587763947</v>
      </c>
      <c r="U164">
        <f t="shared" si="37"/>
        <v>4.9764953011598445</v>
      </c>
      <c r="V164">
        <v>1</v>
      </c>
      <c r="AB164" s="3"/>
    </row>
    <row r="165" spans="1:28">
      <c r="A165" t="s">
        <v>87</v>
      </c>
      <c r="B165" t="s">
        <v>88</v>
      </c>
      <c r="C165" t="s">
        <v>159</v>
      </c>
      <c r="D165" s="1">
        <v>228</v>
      </c>
      <c r="E165" s="1">
        <f t="shared" si="26"/>
        <v>190</v>
      </c>
      <c r="F165">
        <v>227.9</v>
      </c>
      <c r="G165" s="1">
        <v>25</v>
      </c>
      <c r="H165">
        <f t="shared" si="27"/>
        <v>37.900000000000006</v>
      </c>
      <c r="I165">
        <f t="shared" si="28"/>
        <v>2.2294117647058829</v>
      </c>
      <c r="J165">
        <f t="shared" si="29"/>
        <v>9.2362269467319571</v>
      </c>
      <c r="K165">
        <f t="shared" si="30"/>
        <v>0.57566309754037293</v>
      </c>
      <c r="L165">
        <f t="shared" si="31"/>
        <v>5.037115276176233</v>
      </c>
      <c r="M165" s="4">
        <f t="shared" si="32"/>
        <v>5.3169550137415795</v>
      </c>
      <c r="N165">
        <f t="shared" si="33"/>
        <v>6.6461937671769746</v>
      </c>
      <c r="O165" cm="1">
        <f t="array" ref="O165:Q165">_xlfn.XLOOKUP(C165, X$2:X$7, AG$2:AI$7)</f>
        <v>56.4</v>
      </c>
      <c r="P165">
        <v>-0.16300000000000001</v>
      </c>
      <c r="Q165">
        <v>0</v>
      </c>
      <c r="R165">
        <f t="shared" si="34"/>
        <v>1.1184071793804915</v>
      </c>
      <c r="S165" s="4">
        <f t="shared" si="35"/>
        <v>1.1184071793804915</v>
      </c>
      <c r="T165">
        <f t="shared" si="36"/>
        <v>4.1985478343610882</v>
      </c>
      <c r="U165">
        <f t="shared" si="37"/>
        <v>5.5277865877964834</v>
      </c>
      <c r="AB165" s="3"/>
    </row>
    <row r="166" spans="1:28">
      <c r="A166" t="s">
        <v>223</v>
      </c>
      <c r="B166" t="s">
        <v>88</v>
      </c>
      <c r="C166" t="s">
        <v>407</v>
      </c>
      <c r="D166" s="1">
        <v>116.9</v>
      </c>
      <c r="E166" s="1">
        <f t="shared" si="26"/>
        <v>93.4</v>
      </c>
      <c r="F166">
        <v>110.1</v>
      </c>
      <c r="G166" s="1">
        <v>64</v>
      </c>
      <c r="H166">
        <f t="shared" si="27"/>
        <v>16.699999999999989</v>
      </c>
      <c r="I166">
        <f t="shared" si="28"/>
        <v>0.98235294117646987</v>
      </c>
      <c r="J166">
        <f t="shared" si="29"/>
        <v>4.6291554092460032</v>
      </c>
      <c r="K166">
        <f t="shared" si="30"/>
        <v>0.94226603101549489</v>
      </c>
      <c r="L166">
        <f t="shared" si="31"/>
        <v>4.1323224262965548</v>
      </c>
      <c r="M166" s="4">
        <f t="shared" si="32"/>
        <v>4.3618958944241406</v>
      </c>
      <c r="N166">
        <f t="shared" si="33"/>
        <v>5.4523698680301758</v>
      </c>
      <c r="O166" cm="1">
        <f t="array" ref="O166:Q166">_xlfn.XLOOKUP(C166, X$2:X$7, AG$2:AI$7)</f>
        <v>57.8</v>
      </c>
      <c r="P166">
        <v>-6.4299999999999996E-2</v>
      </c>
      <c r="Q166">
        <v>0</v>
      </c>
      <c r="R166">
        <f t="shared" si="34"/>
        <v>1.1010069046593214</v>
      </c>
      <c r="S166" s="4">
        <f t="shared" si="35"/>
        <v>1.1010069046593214</v>
      </c>
      <c r="T166">
        <f t="shared" si="36"/>
        <v>3.260888989764819</v>
      </c>
      <c r="U166">
        <f t="shared" si="37"/>
        <v>4.3513629633708542</v>
      </c>
      <c r="AB166" s="3"/>
    </row>
    <row r="167" spans="1:28">
      <c r="A167" t="s">
        <v>224</v>
      </c>
      <c r="B167" t="s">
        <v>96</v>
      </c>
      <c r="C167" t="s">
        <v>407</v>
      </c>
      <c r="D167" s="1">
        <v>116.9</v>
      </c>
      <c r="E167" s="1">
        <f t="shared" si="26"/>
        <v>93.4</v>
      </c>
      <c r="F167">
        <v>109.5</v>
      </c>
      <c r="G167" s="1">
        <v>65</v>
      </c>
      <c r="H167">
        <f t="shared" si="27"/>
        <v>16.099999999999994</v>
      </c>
      <c r="I167">
        <f t="shared" si="28"/>
        <v>0.9470588235294114</v>
      </c>
      <c r="J167">
        <f t="shared" si="29"/>
        <v>4.4987665921473461</v>
      </c>
      <c r="K167">
        <f t="shared" si="30"/>
        <v>0.94226603101549489</v>
      </c>
      <c r="L167">
        <f t="shared" si="31"/>
        <v>4.0159278390768467</v>
      </c>
      <c r="M167" s="4">
        <f t="shared" si="32"/>
        <v>4.239034941247783</v>
      </c>
      <c r="N167">
        <f t="shared" si="33"/>
        <v>5.298793676559729</v>
      </c>
      <c r="O167" cm="1">
        <f t="array" ref="O167:Q167">_xlfn.XLOOKUP(C167, X$2:X$7, AG$2:AI$7)</f>
        <v>57.8</v>
      </c>
      <c r="P167">
        <v>-6.4299999999999996E-2</v>
      </c>
      <c r="Q167">
        <v>0</v>
      </c>
      <c r="R167">
        <f t="shared" si="34"/>
        <v>1.0324402025630721</v>
      </c>
      <c r="S167" s="4">
        <f t="shared" si="35"/>
        <v>1.0324402025630721</v>
      </c>
      <c r="T167">
        <f t="shared" si="36"/>
        <v>3.2065947386847107</v>
      </c>
      <c r="U167">
        <f t="shared" si="37"/>
        <v>4.2663534739966567</v>
      </c>
      <c r="V167">
        <v>1</v>
      </c>
      <c r="AB167" s="3"/>
    </row>
    <row r="168" spans="1:28">
      <c r="A168" t="s">
        <v>440</v>
      </c>
      <c r="B168" t="s">
        <v>78</v>
      </c>
      <c r="C168" t="s">
        <v>586</v>
      </c>
      <c r="D168" s="1">
        <v>107.9</v>
      </c>
      <c r="E168" s="1">
        <f t="shared" si="26"/>
        <v>73</v>
      </c>
      <c r="F168">
        <v>141.69999999999999</v>
      </c>
      <c r="G168" s="1">
        <v>33</v>
      </c>
      <c r="H168">
        <f t="shared" si="27"/>
        <v>68.699999999999989</v>
      </c>
      <c r="I168">
        <f t="shared" si="28"/>
        <v>4.0411764705882343</v>
      </c>
      <c r="J168">
        <f t="shared" si="29"/>
        <v>15.929519557796441</v>
      </c>
      <c r="K168">
        <f t="shared" si="30"/>
        <v>1.0011070456397422</v>
      </c>
      <c r="L168">
        <f t="shared" si="31"/>
        <v>15.107830354388923</v>
      </c>
      <c r="M168" s="4">
        <f t="shared" si="32"/>
        <v>15.947154262966087</v>
      </c>
      <c r="N168">
        <f t="shared" si="33"/>
        <v>19.933942828707607</v>
      </c>
      <c r="O168" cm="1">
        <f t="array" ref="O168:Q168">_xlfn.XLOOKUP(C168, X$2:X$7, AG$2:AI$7)</f>
        <v>5.0900000000000001E-2</v>
      </c>
      <c r="P168">
        <v>-3.9</v>
      </c>
      <c r="Q168">
        <v>73.900000000000006</v>
      </c>
      <c r="R168">
        <f t="shared" si="34"/>
        <v>0.73532670000003175</v>
      </c>
      <c r="S168" s="4">
        <f t="shared" si="35"/>
        <v>1</v>
      </c>
      <c r="T168">
        <f t="shared" si="36"/>
        <v>14.947154262966087</v>
      </c>
      <c r="U168">
        <f t="shared" si="37"/>
        <v>18.933942828707607</v>
      </c>
      <c r="V168">
        <v>1</v>
      </c>
      <c r="AB168" s="3"/>
    </row>
    <row r="169" spans="1:28">
      <c r="A169" t="s">
        <v>441</v>
      </c>
      <c r="B169" t="s">
        <v>70</v>
      </c>
      <c r="C169" t="s">
        <v>586</v>
      </c>
      <c r="D169" s="1">
        <v>107.9</v>
      </c>
      <c r="E169" s="1">
        <f t="shared" si="26"/>
        <v>73</v>
      </c>
      <c r="F169">
        <v>138.9</v>
      </c>
      <c r="G169" s="1">
        <v>34</v>
      </c>
      <c r="H169">
        <f t="shared" si="27"/>
        <v>65.900000000000006</v>
      </c>
      <c r="I169">
        <f t="shared" si="28"/>
        <v>3.8764705882352946</v>
      </c>
      <c r="J169">
        <f t="shared" si="29"/>
        <v>15.321038411336039</v>
      </c>
      <c r="K169">
        <f t="shared" si="30"/>
        <v>1.0011070456397422</v>
      </c>
      <c r="L169">
        <f t="shared" si="31"/>
        <v>14.530736368521124</v>
      </c>
      <c r="M169" s="4">
        <f t="shared" si="32"/>
        <v>15.337999500105632</v>
      </c>
      <c r="N169">
        <f t="shared" si="33"/>
        <v>19.172499375132041</v>
      </c>
      <c r="O169" cm="1">
        <f t="array" ref="O169:Q169">_xlfn.XLOOKUP(C169, X$2:X$7, AG$2:AI$7)</f>
        <v>5.0900000000000001E-2</v>
      </c>
      <c r="P169">
        <v>-3.9</v>
      </c>
      <c r="Q169">
        <v>73.900000000000006</v>
      </c>
      <c r="R169">
        <f t="shared" si="34"/>
        <v>0.16384680000001617</v>
      </c>
      <c r="S169" s="4">
        <f t="shared" si="35"/>
        <v>1</v>
      </c>
      <c r="T169">
        <f t="shared" si="36"/>
        <v>14.337999500105632</v>
      </c>
      <c r="U169">
        <f t="shared" si="37"/>
        <v>18.172499375132041</v>
      </c>
      <c r="AB169" s="3"/>
    </row>
    <row r="170" spans="1:28">
      <c r="A170" t="s">
        <v>442</v>
      </c>
      <c r="B170" t="s">
        <v>96</v>
      </c>
      <c r="C170" t="s">
        <v>586</v>
      </c>
      <c r="D170" s="1">
        <v>107.9</v>
      </c>
      <c r="E170" s="1">
        <f t="shared" si="26"/>
        <v>73</v>
      </c>
      <c r="F170">
        <v>136.4</v>
      </c>
      <c r="G170" s="1">
        <v>35</v>
      </c>
      <c r="H170">
        <f t="shared" si="27"/>
        <v>63.400000000000006</v>
      </c>
      <c r="I170">
        <f t="shared" si="28"/>
        <v>3.7294117647058829</v>
      </c>
      <c r="J170">
        <f t="shared" si="29"/>
        <v>14.777751673424961</v>
      </c>
      <c r="K170">
        <f t="shared" si="30"/>
        <v>1.0011070456397422</v>
      </c>
      <c r="L170">
        <f t="shared" si="31"/>
        <v>14.015473881139155</v>
      </c>
      <c r="M170" s="4">
        <f t="shared" si="32"/>
        <v>14.794111318980219</v>
      </c>
      <c r="N170">
        <f t="shared" si="33"/>
        <v>18.492639148725274</v>
      </c>
      <c r="O170" cm="1">
        <f t="array" ref="O170:Q170">_xlfn.XLOOKUP(C170, X$2:X$7, AG$2:AI$7)</f>
        <v>5.0900000000000001E-2</v>
      </c>
      <c r="P170">
        <v>-3.9</v>
      </c>
      <c r="Q170">
        <v>73.900000000000006</v>
      </c>
      <c r="R170">
        <f t="shared" si="34"/>
        <v>-0.28883250000000266</v>
      </c>
      <c r="S170" s="4">
        <f t="shared" si="35"/>
        <v>1</v>
      </c>
      <c r="T170">
        <f t="shared" si="36"/>
        <v>13.794111318980219</v>
      </c>
      <c r="U170">
        <f t="shared" si="37"/>
        <v>17.492639148725274</v>
      </c>
      <c r="AB170" s="3"/>
    </row>
    <row r="171" spans="1:28">
      <c r="A171" t="s">
        <v>443</v>
      </c>
      <c r="B171" t="s">
        <v>96</v>
      </c>
      <c r="C171" t="s">
        <v>586</v>
      </c>
      <c r="D171" s="1">
        <v>107.9</v>
      </c>
      <c r="E171" s="1">
        <f t="shared" si="26"/>
        <v>73</v>
      </c>
      <c r="F171">
        <v>136</v>
      </c>
      <c r="G171" s="1">
        <v>36</v>
      </c>
      <c r="H171">
        <f t="shared" si="27"/>
        <v>63</v>
      </c>
      <c r="I171">
        <f t="shared" si="28"/>
        <v>3.7058823529411766</v>
      </c>
      <c r="J171">
        <f t="shared" si="29"/>
        <v>14.690825795359187</v>
      </c>
      <c r="K171">
        <f t="shared" si="30"/>
        <v>1.0011070456397422</v>
      </c>
      <c r="L171">
        <f t="shared" si="31"/>
        <v>13.933031883158037</v>
      </c>
      <c r="M171" s="4">
        <f t="shared" si="32"/>
        <v>14.70708921000015</v>
      </c>
      <c r="N171">
        <f t="shared" si="33"/>
        <v>18.383861512500189</v>
      </c>
      <c r="O171" cm="1">
        <f t="array" ref="O171:Q171">_xlfn.XLOOKUP(C171, X$2:X$7, AG$2:AI$7)</f>
        <v>5.0900000000000001E-2</v>
      </c>
      <c r="P171">
        <v>-3.9</v>
      </c>
      <c r="Q171">
        <v>73.900000000000006</v>
      </c>
      <c r="R171">
        <f t="shared" si="34"/>
        <v>-0.62271119999999158</v>
      </c>
      <c r="S171" s="4">
        <f t="shared" si="35"/>
        <v>1</v>
      </c>
      <c r="T171">
        <f t="shared" si="36"/>
        <v>13.70708921000015</v>
      </c>
      <c r="U171">
        <f t="shared" si="37"/>
        <v>17.383861512500189</v>
      </c>
      <c r="V171">
        <v>1</v>
      </c>
      <c r="AB171" s="3"/>
    </row>
    <row r="172" spans="1:28">
      <c r="A172" t="s">
        <v>444</v>
      </c>
      <c r="B172" t="s">
        <v>68</v>
      </c>
      <c r="C172" t="s">
        <v>586</v>
      </c>
      <c r="D172" s="1">
        <v>107.9</v>
      </c>
      <c r="E172" s="1">
        <f t="shared" si="26"/>
        <v>73</v>
      </c>
      <c r="F172">
        <v>122.4</v>
      </c>
      <c r="G172" s="1">
        <v>37</v>
      </c>
      <c r="H172">
        <f t="shared" si="27"/>
        <v>49.400000000000006</v>
      </c>
      <c r="I172">
        <f t="shared" si="28"/>
        <v>2.9058823529411768</v>
      </c>
      <c r="J172">
        <f t="shared" si="29"/>
        <v>11.735345941122919</v>
      </c>
      <c r="K172">
        <f t="shared" si="30"/>
        <v>1.0011070456397422</v>
      </c>
      <c r="L172">
        <f t="shared" si="31"/>
        <v>11.13000395180012</v>
      </c>
      <c r="M172" s="4">
        <f t="shared" si="32"/>
        <v>11.748337504677904</v>
      </c>
      <c r="N172">
        <f t="shared" si="33"/>
        <v>14.685421880847381</v>
      </c>
      <c r="O172" cm="1">
        <f t="array" ref="O172:Q172">_xlfn.XLOOKUP(C172, X$2:X$7, AG$2:AI$7)</f>
        <v>5.0900000000000001E-2</v>
      </c>
      <c r="P172">
        <v>-3.9</v>
      </c>
      <c r="Q172">
        <v>73.900000000000006</v>
      </c>
      <c r="R172">
        <f t="shared" si="34"/>
        <v>-0.8377892999999671</v>
      </c>
      <c r="S172" s="4">
        <f t="shared" si="35"/>
        <v>1</v>
      </c>
      <c r="T172">
        <f t="shared" si="36"/>
        <v>10.748337504677904</v>
      </c>
      <c r="U172">
        <f t="shared" si="37"/>
        <v>13.685421880847381</v>
      </c>
      <c r="V172">
        <v>1</v>
      </c>
      <c r="AB172" s="3"/>
    </row>
    <row r="173" spans="1:28">
      <c r="A173" t="s">
        <v>445</v>
      </c>
      <c r="B173" t="s">
        <v>76</v>
      </c>
      <c r="C173" t="s">
        <v>586</v>
      </c>
      <c r="D173" s="1">
        <v>107.9</v>
      </c>
      <c r="E173" s="1">
        <f t="shared" si="26"/>
        <v>73</v>
      </c>
      <c r="F173">
        <v>117</v>
      </c>
      <c r="G173" s="1">
        <v>38</v>
      </c>
      <c r="H173">
        <f t="shared" si="27"/>
        <v>44</v>
      </c>
      <c r="I173">
        <f t="shared" si="28"/>
        <v>2.5882352941176472</v>
      </c>
      <c r="J173">
        <f t="shared" si="29"/>
        <v>10.561846587234987</v>
      </c>
      <c r="K173">
        <f t="shared" si="30"/>
        <v>1.0011070456397422</v>
      </c>
      <c r="L173">
        <f t="shared" si="31"/>
        <v>10.017036979055062</v>
      </c>
      <c r="M173" s="4">
        <f t="shared" si="32"/>
        <v>10.573539033447011</v>
      </c>
      <c r="N173">
        <f t="shared" si="33"/>
        <v>13.216923791808764</v>
      </c>
      <c r="O173" cm="1">
        <f t="array" ref="O173:Q173">_xlfn.XLOOKUP(C173, X$2:X$7, AG$2:AI$7)</f>
        <v>5.0900000000000001E-2</v>
      </c>
      <c r="P173">
        <v>-3.9</v>
      </c>
      <c r="Q173">
        <v>73.900000000000006</v>
      </c>
      <c r="R173">
        <f t="shared" si="34"/>
        <v>-0.93406679999997899</v>
      </c>
      <c r="S173" s="4">
        <f t="shared" si="35"/>
        <v>1</v>
      </c>
      <c r="T173">
        <f t="shared" si="36"/>
        <v>9.5735390334470107</v>
      </c>
      <c r="U173">
        <f t="shared" si="37"/>
        <v>12.216923791808764</v>
      </c>
      <c r="AB173" s="3"/>
    </row>
    <row r="174" spans="1:28">
      <c r="A174" t="s">
        <v>446</v>
      </c>
      <c r="B174" t="s">
        <v>68</v>
      </c>
      <c r="C174" t="s">
        <v>586</v>
      </c>
      <c r="D174" s="1">
        <v>107.9</v>
      </c>
      <c r="E174" s="1">
        <f t="shared" si="26"/>
        <v>73</v>
      </c>
      <c r="F174">
        <v>114</v>
      </c>
      <c r="G174" s="1">
        <v>39</v>
      </c>
      <c r="H174">
        <f t="shared" si="27"/>
        <v>41</v>
      </c>
      <c r="I174">
        <f t="shared" si="28"/>
        <v>2.4117647058823528</v>
      </c>
      <c r="J174">
        <f t="shared" si="29"/>
        <v>9.9099025017416924</v>
      </c>
      <c r="K174">
        <f t="shared" si="30"/>
        <v>1.0011070456397422</v>
      </c>
      <c r="L174">
        <f t="shared" si="31"/>
        <v>9.3987219941966984</v>
      </c>
      <c r="M174" s="4">
        <f t="shared" si="32"/>
        <v>9.9208732160965152</v>
      </c>
      <c r="N174">
        <f t="shared" si="33"/>
        <v>12.401091520120644</v>
      </c>
      <c r="O174" cm="1">
        <f t="array" ref="O174:Q174">_xlfn.XLOOKUP(C174, X$2:X$7, AG$2:AI$7)</f>
        <v>5.0900000000000001E-2</v>
      </c>
      <c r="P174">
        <v>-3.9</v>
      </c>
      <c r="Q174">
        <v>73.900000000000006</v>
      </c>
      <c r="R174">
        <f t="shared" si="34"/>
        <v>-0.91154369999997764</v>
      </c>
      <c r="S174" s="4">
        <f t="shared" si="35"/>
        <v>1</v>
      </c>
      <c r="T174">
        <f t="shared" si="36"/>
        <v>8.9208732160965152</v>
      </c>
      <c r="U174">
        <f t="shared" si="37"/>
        <v>11.401091520120644</v>
      </c>
      <c r="AB174" s="3"/>
    </row>
    <row r="175" spans="1:28">
      <c r="A175" t="s">
        <v>447</v>
      </c>
      <c r="B175" t="s">
        <v>44</v>
      </c>
      <c r="C175" t="s">
        <v>586</v>
      </c>
      <c r="D175" s="1">
        <v>107.9</v>
      </c>
      <c r="E175" s="1">
        <f t="shared" si="26"/>
        <v>73</v>
      </c>
      <c r="F175">
        <v>113.2</v>
      </c>
      <c r="G175" s="1">
        <v>40</v>
      </c>
      <c r="H175">
        <f t="shared" si="27"/>
        <v>40.200000000000003</v>
      </c>
      <c r="I175">
        <f t="shared" si="28"/>
        <v>2.3647058823529412</v>
      </c>
      <c r="J175">
        <f t="shared" si="29"/>
        <v>9.7360507456101466</v>
      </c>
      <c r="K175">
        <f t="shared" si="30"/>
        <v>1.0011070456397422</v>
      </c>
      <c r="L175">
        <f t="shared" si="31"/>
        <v>9.2338379982344687</v>
      </c>
      <c r="M175" s="4">
        <f t="shared" si="32"/>
        <v>9.7468289981363831</v>
      </c>
      <c r="N175">
        <f t="shared" si="33"/>
        <v>12.183536247670478</v>
      </c>
      <c r="O175" cm="1">
        <f t="array" ref="O175:Q175">_xlfn.XLOOKUP(C175, X$2:X$7, AG$2:AI$7)</f>
        <v>5.0900000000000001E-2</v>
      </c>
      <c r="P175">
        <v>-3.9</v>
      </c>
      <c r="Q175">
        <v>73.900000000000006</v>
      </c>
      <c r="R175">
        <f t="shared" si="34"/>
        <v>-0.77021999999999602</v>
      </c>
      <c r="S175" s="4">
        <f t="shared" si="35"/>
        <v>1</v>
      </c>
      <c r="T175">
        <f t="shared" si="36"/>
        <v>8.7468289981363831</v>
      </c>
      <c r="U175">
        <f t="shared" si="37"/>
        <v>11.183536247670478</v>
      </c>
      <c r="V175">
        <v>1</v>
      </c>
      <c r="AB175" s="3"/>
    </row>
    <row r="176" spans="1:28">
      <c r="A176" t="s">
        <v>448</v>
      </c>
      <c r="B176" t="s">
        <v>84</v>
      </c>
      <c r="C176" t="s">
        <v>586</v>
      </c>
      <c r="D176" s="1">
        <v>107.9</v>
      </c>
      <c r="E176" s="1">
        <f t="shared" si="26"/>
        <v>73</v>
      </c>
      <c r="F176">
        <v>108.7</v>
      </c>
      <c r="G176" s="1">
        <v>41</v>
      </c>
      <c r="H176">
        <f t="shared" si="27"/>
        <v>35.700000000000003</v>
      </c>
      <c r="I176">
        <f t="shared" si="28"/>
        <v>2.1</v>
      </c>
      <c r="J176">
        <f t="shared" si="29"/>
        <v>8.7581346173702066</v>
      </c>
      <c r="K176">
        <f t="shared" si="30"/>
        <v>1.0011070456397422</v>
      </c>
      <c r="L176">
        <f t="shared" si="31"/>
        <v>8.3063655209469243</v>
      </c>
      <c r="M176" s="4">
        <f t="shared" si="32"/>
        <v>8.7678302721106416</v>
      </c>
      <c r="N176">
        <f t="shared" si="33"/>
        <v>10.959787840138302</v>
      </c>
      <c r="O176" cm="1">
        <f t="array" ref="O176:Q176">_xlfn.XLOOKUP(C176, X$2:X$7, AG$2:AI$7)</f>
        <v>5.0900000000000001E-2</v>
      </c>
      <c r="P176">
        <v>-3.9</v>
      </c>
      <c r="Q176">
        <v>73.900000000000006</v>
      </c>
      <c r="R176">
        <f t="shared" si="34"/>
        <v>-0.51009570000000115</v>
      </c>
      <c r="S176" s="4">
        <f t="shared" si="35"/>
        <v>1</v>
      </c>
      <c r="T176">
        <f t="shared" si="36"/>
        <v>7.7678302721106416</v>
      </c>
      <c r="U176">
        <f t="shared" si="37"/>
        <v>9.9597878401383024</v>
      </c>
      <c r="V176">
        <v>1</v>
      </c>
      <c r="AB176" s="3"/>
    </row>
    <row r="177" spans="1:28">
      <c r="A177" t="s">
        <v>449</v>
      </c>
      <c r="B177" t="s">
        <v>64</v>
      </c>
      <c r="C177" t="s">
        <v>586</v>
      </c>
      <c r="D177" s="1">
        <v>107.9</v>
      </c>
      <c r="E177" s="1">
        <f t="shared" si="26"/>
        <v>73</v>
      </c>
      <c r="F177">
        <v>107.9</v>
      </c>
      <c r="G177" s="1">
        <v>42</v>
      </c>
      <c r="H177">
        <f t="shared" si="27"/>
        <v>34.900000000000006</v>
      </c>
      <c r="I177">
        <f t="shared" si="28"/>
        <v>2.0529411764705885</v>
      </c>
      <c r="J177">
        <f t="shared" si="29"/>
        <v>8.5842828612386608</v>
      </c>
      <c r="K177">
        <f t="shared" si="30"/>
        <v>1.0011070456397422</v>
      </c>
      <c r="L177">
        <f t="shared" si="31"/>
        <v>8.141481524984691</v>
      </c>
      <c r="M177" s="4">
        <f t="shared" si="32"/>
        <v>8.5937860541505078</v>
      </c>
      <c r="N177">
        <f t="shared" si="33"/>
        <v>10.742232567688134</v>
      </c>
      <c r="O177" cm="1">
        <f t="array" ref="O177:Q177">_xlfn.XLOOKUP(C177, X$2:X$7, AG$2:AI$7)</f>
        <v>5.0900000000000001E-2</v>
      </c>
      <c r="P177">
        <v>-3.9</v>
      </c>
      <c r="Q177">
        <v>73.900000000000006</v>
      </c>
      <c r="R177">
        <f t="shared" si="34"/>
        <v>-0.13117079999997622</v>
      </c>
      <c r="S177" s="4">
        <f t="shared" si="35"/>
        <v>1</v>
      </c>
      <c r="T177">
        <f t="shared" si="36"/>
        <v>7.5937860541505078</v>
      </c>
      <c r="U177">
        <f t="shared" si="37"/>
        <v>9.7422325676881343</v>
      </c>
      <c r="V177">
        <v>1</v>
      </c>
      <c r="AB177" s="3"/>
    </row>
    <row r="178" spans="1:28">
      <c r="A178" t="s">
        <v>450</v>
      </c>
      <c r="B178" t="s">
        <v>102</v>
      </c>
      <c r="C178" t="s">
        <v>586</v>
      </c>
      <c r="D178" s="1">
        <v>107.9</v>
      </c>
      <c r="E178" s="1">
        <f t="shared" si="26"/>
        <v>73</v>
      </c>
      <c r="F178">
        <v>106.3</v>
      </c>
      <c r="G178" s="1">
        <v>43</v>
      </c>
      <c r="H178">
        <f t="shared" si="27"/>
        <v>33.299999999999997</v>
      </c>
      <c r="I178">
        <f t="shared" si="28"/>
        <v>1.9588235294117646</v>
      </c>
      <c r="J178">
        <f t="shared" si="29"/>
        <v>8.2365793489755692</v>
      </c>
      <c r="K178">
        <f t="shared" si="30"/>
        <v>1.0011070456397422</v>
      </c>
      <c r="L178">
        <f t="shared" si="31"/>
        <v>7.8117135330602308</v>
      </c>
      <c r="M178" s="4">
        <f t="shared" si="32"/>
        <v>8.2456976182302437</v>
      </c>
      <c r="N178">
        <f t="shared" si="33"/>
        <v>10.307122022787805</v>
      </c>
      <c r="O178" cm="1">
        <f t="array" ref="O178:Q178">_xlfn.XLOOKUP(C178, X$2:X$7, AG$2:AI$7)</f>
        <v>5.0900000000000001E-2</v>
      </c>
      <c r="P178">
        <v>-3.9</v>
      </c>
      <c r="Q178">
        <v>73.900000000000006</v>
      </c>
      <c r="R178">
        <f t="shared" si="34"/>
        <v>0.36655470000002882</v>
      </c>
      <c r="S178" s="4">
        <f t="shared" si="35"/>
        <v>1</v>
      </c>
      <c r="T178">
        <f t="shared" si="36"/>
        <v>7.2456976182302437</v>
      </c>
      <c r="U178">
        <f t="shared" si="37"/>
        <v>9.3071220227878051</v>
      </c>
      <c r="V178">
        <v>1</v>
      </c>
      <c r="AB178" s="3"/>
    </row>
    <row r="179" spans="1:28">
      <c r="A179" t="s">
        <v>451</v>
      </c>
      <c r="B179" t="s">
        <v>80</v>
      </c>
      <c r="C179" t="s">
        <v>586</v>
      </c>
      <c r="D179" s="1">
        <v>107.9</v>
      </c>
      <c r="E179" s="1">
        <f t="shared" si="26"/>
        <v>73</v>
      </c>
      <c r="F179">
        <v>105.3</v>
      </c>
      <c r="G179" s="1">
        <v>44</v>
      </c>
      <c r="H179">
        <f t="shared" si="27"/>
        <v>32.299999999999997</v>
      </c>
      <c r="I179">
        <f t="shared" si="28"/>
        <v>1.9</v>
      </c>
      <c r="J179">
        <f t="shared" si="29"/>
        <v>8.0192646538111383</v>
      </c>
      <c r="K179">
        <f t="shared" si="30"/>
        <v>1.0011070456397422</v>
      </c>
      <c r="L179">
        <f t="shared" si="31"/>
        <v>7.6056085381074432</v>
      </c>
      <c r="M179" s="4">
        <f t="shared" si="32"/>
        <v>8.0281423457800791</v>
      </c>
      <c r="N179">
        <f t="shared" si="33"/>
        <v>10.0351779322251</v>
      </c>
      <c r="O179" cm="1">
        <f t="array" ref="O179:Q179">_xlfn.XLOOKUP(C179, X$2:X$7, AG$2:AI$7)</f>
        <v>5.0900000000000001E-2</v>
      </c>
      <c r="P179">
        <v>-3.9</v>
      </c>
      <c r="Q179">
        <v>73.900000000000006</v>
      </c>
      <c r="R179">
        <f t="shared" si="34"/>
        <v>0.98308080000001408</v>
      </c>
      <c r="S179" s="4">
        <f t="shared" si="35"/>
        <v>1</v>
      </c>
      <c r="T179">
        <f t="shared" si="36"/>
        <v>7.0281423457800791</v>
      </c>
      <c r="U179">
        <f t="shared" si="37"/>
        <v>9.0351779322250998</v>
      </c>
      <c r="V179">
        <v>1</v>
      </c>
      <c r="AB179" s="3"/>
    </row>
    <row r="180" spans="1:28">
      <c r="A180" t="s">
        <v>89</v>
      </c>
      <c r="B180" t="s">
        <v>90</v>
      </c>
      <c r="C180" t="s">
        <v>159</v>
      </c>
      <c r="D180" s="1">
        <v>228</v>
      </c>
      <c r="E180" s="1">
        <f t="shared" si="26"/>
        <v>190</v>
      </c>
      <c r="F180">
        <v>223.2</v>
      </c>
      <c r="G180" s="1">
        <v>26</v>
      </c>
      <c r="H180">
        <f t="shared" si="27"/>
        <v>33.199999999999989</v>
      </c>
      <c r="I180">
        <f t="shared" si="28"/>
        <v>1.9529411764705875</v>
      </c>
      <c r="J180">
        <f t="shared" si="29"/>
        <v>8.2148478794591249</v>
      </c>
      <c r="K180">
        <f t="shared" si="30"/>
        <v>0.57566309754037293</v>
      </c>
      <c r="L180">
        <f t="shared" si="31"/>
        <v>4.4800908405275406</v>
      </c>
      <c r="M180" s="4">
        <f t="shared" si="32"/>
        <v>4.7289847761124042</v>
      </c>
      <c r="N180">
        <f t="shared" si="33"/>
        <v>5.9112309701405055</v>
      </c>
      <c r="O180" cm="1">
        <f t="array" ref="O180:Q180">_xlfn.XLOOKUP(C180, X$2:X$7, AG$2:AI$7)</f>
        <v>56.4</v>
      </c>
      <c r="P180">
        <v>-0.16300000000000001</v>
      </c>
      <c r="Q180">
        <v>0</v>
      </c>
      <c r="R180">
        <f t="shared" si="34"/>
        <v>0.95018888466128137</v>
      </c>
      <c r="S180" s="4">
        <f t="shared" si="35"/>
        <v>1</v>
      </c>
      <c r="T180">
        <f t="shared" si="36"/>
        <v>3.7289847761124042</v>
      </c>
      <c r="U180">
        <f t="shared" si="37"/>
        <v>4.9112309701405055</v>
      </c>
      <c r="AB180" s="3"/>
    </row>
    <row r="181" spans="1:28">
      <c r="A181" t="s">
        <v>603</v>
      </c>
      <c r="B181" t="s">
        <v>42</v>
      </c>
      <c r="C181" t="s">
        <v>729</v>
      </c>
      <c r="D181" s="1">
        <v>99</v>
      </c>
      <c r="E181" s="1">
        <f t="shared" si="26"/>
        <v>82.5</v>
      </c>
      <c r="F181">
        <v>97.6</v>
      </c>
      <c r="G181" s="1">
        <v>17</v>
      </c>
      <c r="H181">
        <f t="shared" si="27"/>
        <v>15.099999999999994</v>
      </c>
      <c r="I181">
        <f t="shared" si="28"/>
        <v>0.88823529411764668</v>
      </c>
      <c r="J181">
        <f t="shared" si="29"/>
        <v>4.2814518969829152</v>
      </c>
      <c r="K181">
        <f t="shared" si="30"/>
        <v>1.0909252297006058</v>
      </c>
      <c r="L181">
        <f t="shared" si="31"/>
        <v>4.4249152681593298</v>
      </c>
      <c r="M181" s="4">
        <f t="shared" si="32"/>
        <v>4.6707438941681811</v>
      </c>
      <c r="N181">
        <f t="shared" si="33"/>
        <v>5.8384298677102269</v>
      </c>
      <c r="O181" cm="1">
        <f t="array" ref="O181:Q181">_xlfn.XLOOKUP(C181, X$2:X$7, AG$2:AI$7)</f>
        <v>55.4</v>
      </c>
      <c r="P181">
        <v>-0.253</v>
      </c>
      <c r="Q181">
        <v>0</v>
      </c>
      <c r="R181">
        <f t="shared" si="34"/>
        <v>0.87635497025118003</v>
      </c>
      <c r="S181" s="4">
        <f t="shared" si="35"/>
        <v>1</v>
      </c>
      <c r="T181">
        <f t="shared" si="36"/>
        <v>3.6707438941681811</v>
      </c>
      <c r="U181">
        <f t="shared" si="37"/>
        <v>4.8384298677102269</v>
      </c>
      <c r="AB181" s="3"/>
    </row>
    <row r="182" spans="1:28">
      <c r="A182" t="s">
        <v>91</v>
      </c>
      <c r="B182" t="s">
        <v>92</v>
      </c>
      <c r="C182" t="s">
        <v>159</v>
      </c>
      <c r="D182" s="1">
        <v>228</v>
      </c>
      <c r="E182" s="1">
        <f t="shared" si="26"/>
        <v>190</v>
      </c>
      <c r="F182">
        <v>218.7</v>
      </c>
      <c r="G182" s="1">
        <v>27</v>
      </c>
      <c r="H182">
        <f t="shared" si="27"/>
        <v>28.699999999999989</v>
      </c>
      <c r="I182">
        <f t="shared" si="28"/>
        <v>1.6882352941176464</v>
      </c>
      <c r="J182">
        <f t="shared" si="29"/>
        <v>7.2369317512191822</v>
      </c>
      <c r="K182">
        <f t="shared" si="30"/>
        <v>0.57566309754037293</v>
      </c>
      <c r="L182">
        <f t="shared" si="31"/>
        <v>3.9467695723532614</v>
      </c>
      <c r="M182" s="4">
        <f t="shared" si="32"/>
        <v>4.1660345485951096</v>
      </c>
      <c r="N182">
        <f t="shared" si="33"/>
        <v>5.2075431857438872</v>
      </c>
      <c r="O182" cm="1">
        <f t="array" ref="O182:Q182">_xlfn.XLOOKUP(C182, X$2:X$7, AG$2:AI$7)</f>
        <v>56.4</v>
      </c>
      <c r="P182">
        <v>-0.16300000000000001</v>
      </c>
      <c r="Q182">
        <v>0</v>
      </c>
      <c r="R182">
        <f t="shared" si="34"/>
        <v>0.80727210373771274</v>
      </c>
      <c r="S182" s="4">
        <f t="shared" si="35"/>
        <v>1</v>
      </c>
      <c r="T182">
        <f t="shared" si="36"/>
        <v>3.1660345485951096</v>
      </c>
      <c r="U182">
        <f t="shared" si="37"/>
        <v>4.2075431857438872</v>
      </c>
      <c r="AB182" s="3"/>
    </row>
    <row r="183" spans="1:28">
      <c r="A183" t="s">
        <v>93</v>
      </c>
      <c r="B183" t="s">
        <v>94</v>
      </c>
      <c r="C183" t="s">
        <v>159</v>
      </c>
      <c r="D183" s="1">
        <v>228</v>
      </c>
      <c r="E183" s="1">
        <f t="shared" si="26"/>
        <v>190</v>
      </c>
      <c r="F183">
        <v>217.8</v>
      </c>
      <c r="G183" s="1">
        <v>28</v>
      </c>
      <c r="H183">
        <f t="shared" si="27"/>
        <v>27.800000000000011</v>
      </c>
      <c r="I183">
        <f t="shared" si="28"/>
        <v>1.6352941176470595</v>
      </c>
      <c r="J183">
        <f t="shared" si="29"/>
        <v>7.0413485255711983</v>
      </c>
      <c r="K183">
        <f t="shared" si="30"/>
        <v>0.57566309754037293</v>
      </c>
      <c r="L183">
        <f t="shared" si="31"/>
        <v>3.8401053187184084</v>
      </c>
      <c r="M183" s="4">
        <f t="shared" si="32"/>
        <v>4.0534445030916535</v>
      </c>
      <c r="N183">
        <f t="shared" si="33"/>
        <v>5.0668056288645671</v>
      </c>
      <c r="O183" cm="1">
        <f t="array" ref="O183:Q183">_xlfn.XLOOKUP(C183, X$2:X$7, AG$2:AI$7)</f>
        <v>56.4</v>
      </c>
      <c r="P183">
        <v>-0.16300000000000001</v>
      </c>
      <c r="Q183">
        <v>0</v>
      </c>
      <c r="R183">
        <f t="shared" si="34"/>
        <v>0.68585126598846946</v>
      </c>
      <c r="S183" s="4">
        <f t="shared" si="35"/>
        <v>1</v>
      </c>
      <c r="T183">
        <f t="shared" si="36"/>
        <v>3.0534445030916535</v>
      </c>
      <c r="U183">
        <f t="shared" si="37"/>
        <v>4.0668056288645671</v>
      </c>
      <c r="AB183" s="3"/>
    </row>
    <row r="184" spans="1:28">
      <c r="A184" t="s">
        <v>10</v>
      </c>
      <c r="C184" t="s">
        <v>38</v>
      </c>
      <c r="D184" s="1">
        <v>108.4</v>
      </c>
      <c r="E184" s="1">
        <f t="shared" si="26"/>
        <v>90</v>
      </c>
      <c r="F184">
        <v>107.2</v>
      </c>
      <c r="G184" s="1">
        <v>9</v>
      </c>
      <c r="H184">
        <f t="shared" si="27"/>
        <v>17.200000000000003</v>
      </c>
      <c r="I184">
        <f t="shared" si="28"/>
        <v>1.0117647058823531</v>
      </c>
      <c r="J184">
        <f t="shared" si="29"/>
        <v>4.7378127568282231</v>
      </c>
      <c r="K184">
        <f t="shared" si="30"/>
        <v>0.79844160049776736</v>
      </c>
      <c r="L184">
        <f t="shared" si="31"/>
        <v>3.583768547766947</v>
      </c>
      <c r="M184" s="4">
        <f t="shared" si="32"/>
        <v>3.782866800420666</v>
      </c>
      <c r="N184">
        <f t="shared" si="33"/>
        <v>4.7285835005258328</v>
      </c>
      <c r="O184" cm="1">
        <f t="array" ref="O184:Q184">_xlfn.XLOOKUP(C184, X$2:X$7, AG$2:AI$7)</f>
        <v>6.77</v>
      </c>
      <c r="P184">
        <v>-0.23300000000000001</v>
      </c>
      <c r="Q184">
        <v>0</v>
      </c>
      <c r="R184">
        <f t="shared" si="34"/>
        <v>0.97038482459676456</v>
      </c>
      <c r="S184" s="4">
        <f t="shared" si="35"/>
        <v>1</v>
      </c>
      <c r="T184">
        <f t="shared" si="36"/>
        <v>2.782866800420666</v>
      </c>
      <c r="U184">
        <f t="shared" si="37"/>
        <v>3.7285835005258328</v>
      </c>
      <c r="AB184" s="3"/>
    </row>
    <row r="185" spans="1:28">
      <c r="A185" t="s">
        <v>225</v>
      </c>
      <c r="B185" t="s">
        <v>60</v>
      </c>
      <c r="C185" t="s">
        <v>407</v>
      </c>
      <c r="D185" s="1">
        <v>116.9</v>
      </c>
      <c r="E185" s="1">
        <f t="shared" si="26"/>
        <v>93.4</v>
      </c>
      <c r="F185">
        <v>107.1</v>
      </c>
      <c r="G185" s="1">
        <v>66</v>
      </c>
      <c r="H185">
        <f t="shared" si="27"/>
        <v>13.699999999999989</v>
      </c>
      <c r="I185">
        <f t="shared" si="28"/>
        <v>0.80588235294117583</v>
      </c>
      <c r="J185">
        <f t="shared" si="29"/>
        <v>3.9772113237527096</v>
      </c>
      <c r="K185">
        <f t="shared" si="30"/>
        <v>0.94226603101549489</v>
      </c>
      <c r="L185">
        <f t="shared" si="31"/>
        <v>3.5503494901980139</v>
      </c>
      <c r="M185" s="4">
        <f t="shared" si="32"/>
        <v>3.7475911285423482</v>
      </c>
      <c r="N185">
        <f t="shared" si="33"/>
        <v>4.6844889106779348</v>
      </c>
      <c r="O185" cm="1">
        <f t="array" ref="O185:Q185">_xlfn.XLOOKUP(C185, X$2:X$7, AG$2:AI$7)</f>
        <v>57.8</v>
      </c>
      <c r="P185">
        <v>-6.4299999999999996E-2</v>
      </c>
      <c r="Q185">
        <v>0</v>
      </c>
      <c r="R185">
        <f t="shared" si="34"/>
        <v>0.96814358507434073</v>
      </c>
      <c r="S185" s="4">
        <f t="shared" si="35"/>
        <v>1</v>
      </c>
      <c r="T185">
        <f t="shared" si="36"/>
        <v>2.7475911285423482</v>
      </c>
      <c r="U185">
        <f t="shared" si="37"/>
        <v>3.6844889106779348</v>
      </c>
      <c r="V185">
        <v>1</v>
      </c>
      <c r="AB185" s="3"/>
    </row>
    <row r="186" spans="1:28">
      <c r="A186" t="s">
        <v>604</v>
      </c>
      <c r="B186" t="s">
        <v>76</v>
      </c>
      <c r="C186" t="s">
        <v>729</v>
      </c>
      <c r="D186" s="1">
        <v>99</v>
      </c>
      <c r="E186" s="1">
        <f t="shared" si="26"/>
        <v>82.5</v>
      </c>
      <c r="F186">
        <v>93.4</v>
      </c>
      <c r="G186" s="1">
        <v>18</v>
      </c>
      <c r="H186">
        <f t="shared" si="27"/>
        <v>10.900000000000006</v>
      </c>
      <c r="I186">
        <f t="shared" si="28"/>
        <v>0.64117647058823568</v>
      </c>
      <c r="J186">
        <f t="shared" si="29"/>
        <v>3.3687301772923051</v>
      </c>
      <c r="K186">
        <f t="shared" si="30"/>
        <v>1.0909252297006058</v>
      </c>
      <c r="L186">
        <f t="shared" si="31"/>
        <v>3.4816099665429192</v>
      </c>
      <c r="M186" s="4">
        <f t="shared" si="32"/>
        <v>3.6750327424619704</v>
      </c>
      <c r="N186">
        <f t="shared" si="33"/>
        <v>4.5937909280774631</v>
      </c>
      <c r="O186" cm="1">
        <f t="array" ref="O186:Q186">_xlfn.XLOOKUP(C186, X$2:X$7, AG$2:AI$7)</f>
        <v>55.4</v>
      </c>
      <c r="P186">
        <v>-0.253</v>
      </c>
      <c r="Q186">
        <v>0</v>
      </c>
      <c r="R186">
        <f t="shared" si="34"/>
        <v>0.68046148747663837</v>
      </c>
      <c r="S186" s="4">
        <f t="shared" si="35"/>
        <v>1</v>
      </c>
      <c r="T186">
        <f t="shared" si="36"/>
        <v>2.6750327424619704</v>
      </c>
      <c r="U186">
        <f t="shared" si="37"/>
        <v>3.5937909280774631</v>
      </c>
      <c r="AB186" s="3"/>
    </row>
    <row r="187" spans="1:28">
      <c r="A187" t="s">
        <v>12</v>
      </c>
      <c r="C187" t="s">
        <v>38</v>
      </c>
      <c r="D187" s="1">
        <v>108.4</v>
      </c>
      <c r="E187" s="1">
        <f t="shared" si="26"/>
        <v>90</v>
      </c>
      <c r="F187">
        <v>106.5</v>
      </c>
      <c r="G187" s="1">
        <v>11</v>
      </c>
      <c r="H187">
        <f t="shared" si="27"/>
        <v>16.5</v>
      </c>
      <c r="I187">
        <f t="shared" si="28"/>
        <v>0.97058823529411764</v>
      </c>
      <c r="J187">
        <f t="shared" si="29"/>
        <v>4.5856924702131199</v>
      </c>
      <c r="K187">
        <f t="shared" si="30"/>
        <v>0.79844160049776736</v>
      </c>
      <c r="L187">
        <f t="shared" si="31"/>
        <v>3.4687019702913386</v>
      </c>
      <c r="M187" s="4">
        <f t="shared" si="32"/>
        <v>3.661407635307524</v>
      </c>
      <c r="N187">
        <f t="shared" si="33"/>
        <v>4.5767595441344051</v>
      </c>
      <c r="O187" cm="1">
        <f t="array" ref="O187:Q187">_xlfn.XLOOKUP(C187, X$2:X$7, AG$2:AI$7)</f>
        <v>6.77</v>
      </c>
      <c r="P187">
        <v>-0.23300000000000001</v>
      </c>
      <c r="Q187">
        <v>0</v>
      </c>
      <c r="R187">
        <f t="shared" si="34"/>
        <v>0.60892354576347074</v>
      </c>
      <c r="S187" s="4">
        <f t="shared" si="35"/>
        <v>1</v>
      </c>
      <c r="T187">
        <f t="shared" si="36"/>
        <v>2.661407635307524</v>
      </c>
      <c r="U187">
        <f t="shared" si="37"/>
        <v>3.5767595441344051</v>
      </c>
      <c r="AB187" s="3"/>
    </row>
    <row r="188" spans="1:28">
      <c r="A188" t="s">
        <v>11</v>
      </c>
      <c r="C188" t="s">
        <v>38</v>
      </c>
      <c r="D188" s="1">
        <v>108.4</v>
      </c>
      <c r="E188" s="1">
        <f t="shared" si="26"/>
        <v>90</v>
      </c>
      <c r="F188">
        <v>106.5</v>
      </c>
      <c r="G188" s="1">
        <v>10</v>
      </c>
      <c r="H188">
        <f t="shared" si="27"/>
        <v>16.5</v>
      </c>
      <c r="I188">
        <f t="shared" si="28"/>
        <v>0.97058823529411764</v>
      </c>
      <c r="J188">
        <f t="shared" si="29"/>
        <v>4.5856924702131199</v>
      </c>
      <c r="K188">
        <f t="shared" si="30"/>
        <v>0.79844160049776736</v>
      </c>
      <c r="L188">
        <f t="shared" si="31"/>
        <v>3.4687019702913386</v>
      </c>
      <c r="M188" s="4">
        <f t="shared" si="32"/>
        <v>3.661407635307524</v>
      </c>
      <c r="N188">
        <f t="shared" si="33"/>
        <v>4.5767595441344051</v>
      </c>
      <c r="O188" cm="1">
        <f t="array" ref="O188:Q188">_xlfn.XLOOKUP(C188, X$2:X$7, AG$2:AI$7)</f>
        <v>6.77</v>
      </c>
      <c r="P188">
        <v>-0.23300000000000001</v>
      </c>
      <c r="Q188">
        <v>0</v>
      </c>
      <c r="R188">
        <f t="shared" si="34"/>
        <v>0.7686938064980916</v>
      </c>
      <c r="S188" s="4">
        <f t="shared" si="35"/>
        <v>1</v>
      </c>
      <c r="T188">
        <f t="shared" si="36"/>
        <v>2.661407635307524</v>
      </c>
      <c r="U188">
        <f t="shared" si="37"/>
        <v>3.5767595441344051</v>
      </c>
      <c r="AB188" s="3"/>
    </row>
    <row r="189" spans="1:28">
      <c r="A189" t="s">
        <v>95</v>
      </c>
      <c r="B189" t="s">
        <v>96</v>
      </c>
      <c r="C189" t="s">
        <v>159</v>
      </c>
      <c r="D189" s="1">
        <v>228</v>
      </c>
      <c r="E189" s="1">
        <f t="shared" si="26"/>
        <v>190</v>
      </c>
      <c r="F189">
        <v>214.6</v>
      </c>
      <c r="G189" s="1">
        <v>29</v>
      </c>
      <c r="H189">
        <f t="shared" si="27"/>
        <v>24.599999999999994</v>
      </c>
      <c r="I189">
        <f t="shared" si="28"/>
        <v>1.4470588235294115</v>
      </c>
      <c r="J189">
        <f t="shared" si="29"/>
        <v>6.3459415010450142</v>
      </c>
      <c r="K189">
        <f t="shared" si="30"/>
        <v>0.57566309754037293</v>
      </c>
      <c r="L189">
        <f t="shared" si="31"/>
        <v>3.4608546391278092</v>
      </c>
      <c r="M189" s="4">
        <f t="shared" si="32"/>
        <v>3.6531243413015764</v>
      </c>
      <c r="N189">
        <f t="shared" si="33"/>
        <v>4.5664054266269707</v>
      </c>
      <c r="O189" cm="1">
        <f t="array" ref="O189:Q189">_xlfn.XLOOKUP(C189, X$2:X$7, AG$2:AI$7)</f>
        <v>56.4</v>
      </c>
      <c r="P189">
        <v>-0.16300000000000001</v>
      </c>
      <c r="Q189">
        <v>0</v>
      </c>
      <c r="R189">
        <f t="shared" si="34"/>
        <v>0.58269319214679482</v>
      </c>
      <c r="S189" s="4">
        <f t="shared" si="35"/>
        <v>1</v>
      </c>
      <c r="T189">
        <f t="shared" si="36"/>
        <v>2.6531243413015764</v>
      </c>
      <c r="U189">
        <f t="shared" si="37"/>
        <v>3.5664054266269707</v>
      </c>
      <c r="AB189" s="3"/>
    </row>
    <row r="190" spans="1:28">
      <c r="A190" t="s">
        <v>13</v>
      </c>
      <c r="C190" t="s">
        <v>38</v>
      </c>
      <c r="D190" s="1">
        <v>108.4</v>
      </c>
      <c r="E190" s="1">
        <f t="shared" si="26"/>
        <v>90</v>
      </c>
      <c r="F190">
        <v>106.2</v>
      </c>
      <c r="G190" s="1">
        <v>12</v>
      </c>
      <c r="H190">
        <f t="shared" si="27"/>
        <v>16.200000000000003</v>
      </c>
      <c r="I190">
        <f t="shared" si="28"/>
        <v>0.9529411764705884</v>
      </c>
      <c r="J190">
        <f t="shared" si="29"/>
        <v>4.5204980616637913</v>
      </c>
      <c r="K190">
        <f t="shared" si="30"/>
        <v>0.79844160049776736</v>
      </c>
      <c r="L190">
        <f t="shared" si="31"/>
        <v>3.419387722801793</v>
      </c>
      <c r="M190" s="4">
        <f t="shared" si="32"/>
        <v>3.6093537074018927</v>
      </c>
      <c r="N190">
        <f t="shared" si="33"/>
        <v>4.5116921342523657</v>
      </c>
      <c r="O190" cm="1">
        <f t="array" ref="O190:Q190">_xlfn.XLOOKUP(C190, X$2:X$7, AG$2:AI$7)</f>
        <v>6.77</v>
      </c>
      <c r="P190">
        <v>-0.23300000000000001</v>
      </c>
      <c r="Q190">
        <v>0</v>
      </c>
      <c r="R190">
        <f t="shared" si="34"/>
        <v>0.48236096277962948</v>
      </c>
      <c r="S190" s="4">
        <f t="shared" si="35"/>
        <v>1</v>
      </c>
      <c r="T190">
        <f t="shared" si="36"/>
        <v>2.6093537074018927</v>
      </c>
      <c r="U190">
        <f t="shared" si="37"/>
        <v>3.5116921342523657</v>
      </c>
      <c r="AB190" s="3"/>
    </row>
    <row r="191" spans="1:28">
      <c r="A191" t="s">
        <v>226</v>
      </c>
      <c r="B191" t="s">
        <v>54</v>
      </c>
      <c r="C191" t="s">
        <v>407</v>
      </c>
      <c r="D191" s="1">
        <v>116.9</v>
      </c>
      <c r="E191" s="1">
        <f t="shared" si="26"/>
        <v>93.4</v>
      </c>
      <c r="F191">
        <v>106.2</v>
      </c>
      <c r="G191" s="1">
        <v>67</v>
      </c>
      <c r="H191">
        <f t="shared" si="27"/>
        <v>12.799999999999997</v>
      </c>
      <c r="I191">
        <f t="shared" si="28"/>
        <v>0.75294117647058811</v>
      </c>
      <c r="J191">
        <f t="shared" si="29"/>
        <v>3.781628098104723</v>
      </c>
      <c r="K191">
        <f t="shared" si="30"/>
        <v>0.94226603101549489</v>
      </c>
      <c r="L191">
        <f t="shared" si="31"/>
        <v>3.3757576093684536</v>
      </c>
      <c r="M191" s="4">
        <f t="shared" si="32"/>
        <v>3.5632996987778118</v>
      </c>
      <c r="N191">
        <f t="shared" si="33"/>
        <v>4.4541246234722651</v>
      </c>
      <c r="O191" cm="1">
        <f t="array" ref="O191:Q191">_xlfn.XLOOKUP(C191, X$2:X$7, AG$2:AI$7)</f>
        <v>57.8</v>
      </c>
      <c r="P191">
        <v>-6.4299999999999996E-2</v>
      </c>
      <c r="Q191">
        <v>0</v>
      </c>
      <c r="R191">
        <f t="shared" si="34"/>
        <v>0.90785112686788882</v>
      </c>
      <c r="S191" s="4">
        <f t="shared" si="35"/>
        <v>1</v>
      </c>
      <c r="T191">
        <f t="shared" si="36"/>
        <v>2.5632996987778118</v>
      </c>
      <c r="U191">
        <f t="shared" si="37"/>
        <v>3.4541246234722651</v>
      </c>
      <c r="AB191" s="3"/>
    </row>
    <row r="192" spans="1:28">
      <c r="A192" t="s">
        <v>14</v>
      </c>
      <c r="C192" t="s">
        <v>38</v>
      </c>
      <c r="D192" s="1">
        <v>108.4</v>
      </c>
      <c r="E192" s="1">
        <f t="shared" si="26"/>
        <v>90</v>
      </c>
      <c r="F192">
        <v>105.6</v>
      </c>
      <c r="G192" s="1">
        <v>13</v>
      </c>
      <c r="H192">
        <f t="shared" si="27"/>
        <v>15.599999999999994</v>
      </c>
      <c r="I192">
        <f t="shared" si="28"/>
        <v>0.91764705882352904</v>
      </c>
      <c r="J192">
        <f t="shared" si="29"/>
        <v>4.3901092445651297</v>
      </c>
      <c r="K192">
        <f t="shared" si="30"/>
        <v>0.79844160049776736</v>
      </c>
      <c r="L192">
        <f t="shared" si="31"/>
        <v>3.3207592278226987</v>
      </c>
      <c r="M192" s="4">
        <f t="shared" si="32"/>
        <v>3.5052458515906264</v>
      </c>
      <c r="N192">
        <f t="shared" si="33"/>
        <v>4.3815573144882833</v>
      </c>
      <c r="O192" cm="1">
        <f t="array" ref="O192:Q192">_xlfn.XLOOKUP(C192, X$2:X$7, AG$2:AI$7)</f>
        <v>6.77</v>
      </c>
      <c r="P192">
        <v>-0.23300000000000001</v>
      </c>
      <c r="Q192">
        <v>0</v>
      </c>
      <c r="R192">
        <f t="shared" si="34"/>
        <v>0.38210396039451205</v>
      </c>
      <c r="S192" s="4">
        <f t="shared" si="35"/>
        <v>1</v>
      </c>
      <c r="T192">
        <f t="shared" si="36"/>
        <v>2.5052458515906264</v>
      </c>
      <c r="U192">
        <f t="shared" si="37"/>
        <v>3.3815573144882833</v>
      </c>
      <c r="AB192" s="3"/>
    </row>
    <row r="193" spans="1:28">
      <c r="A193" t="s">
        <v>15</v>
      </c>
      <c r="C193" t="s">
        <v>38</v>
      </c>
      <c r="D193" s="1">
        <v>108.4</v>
      </c>
      <c r="E193" s="1">
        <f t="shared" si="26"/>
        <v>90</v>
      </c>
      <c r="F193">
        <v>105.4</v>
      </c>
      <c r="G193" s="1">
        <v>14</v>
      </c>
      <c r="H193">
        <f t="shared" si="27"/>
        <v>15.400000000000006</v>
      </c>
      <c r="I193">
        <f t="shared" si="28"/>
        <v>0.9058823529411768</v>
      </c>
      <c r="J193">
        <f t="shared" si="29"/>
        <v>4.3466463055322464</v>
      </c>
      <c r="K193">
        <f t="shared" si="30"/>
        <v>0.79844160049776736</v>
      </c>
      <c r="L193">
        <f t="shared" si="31"/>
        <v>3.2878830628296702</v>
      </c>
      <c r="M193" s="4">
        <f t="shared" si="32"/>
        <v>3.4705432329868744</v>
      </c>
      <c r="N193">
        <f t="shared" si="33"/>
        <v>4.3381790412335928</v>
      </c>
      <c r="O193" cm="1">
        <f t="array" ref="O193:Q193">_xlfn.XLOOKUP(C193, X$2:X$7, AG$2:AI$7)</f>
        <v>6.77</v>
      </c>
      <c r="P193">
        <v>-0.23300000000000001</v>
      </c>
      <c r="Q193">
        <v>0</v>
      </c>
      <c r="R193">
        <f t="shared" si="34"/>
        <v>0.30268501768430578</v>
      </c>
      <c r="S193" s="4">
        <f t="shared" si="35"/>
        <v>1</v>
      </c>
      <c r="T193">
        <f t="shared" si="36"/>
        <v>2.4705432329868744</v>
      </c>
      <c r="U193">
        <f t="shared" si="37"/>
        <v>3.3381790412335928</v>
      </c>
      <c r="AB193" s="3"/>
    </row>
    <row r="194" spans="1:28">
      <c r="A194" t="s">
        <v>227</v>
      </c>
      <c r="B194" t="s">
        <v>82</v>
      </c>
      <c r="C194" t="s">
        <v>407</v>
      </c>
      <c r="D194" s="1">
        <v>116.9</v>
      </c>
      <c r="E194" s="1">
        <f t="shared" ref="E194:E257" si="38">IF(C194=X$2, AE$2, IF(C194 = X$3, AE$3, IF(C194 = X$4, AE$4, IF(C194 = X$5, AE$5, IF(C194=X$6, AE$6, IF(C194=X$7, AE$7, ""))))))</f>
        <v>93.4</v>
      </c>
      <c r="F194">
        <v>105.5</v>
      </c>
      <c r="G194" s="1">
        <v>68</v>
      </c>
      <c r="H194">
        <f t="shared" ref="H194:H257" si="39">F194-E194</f>
        <v>12.099999999999994</v>
      </c>
      <c r="I194">
        <f t="shared" ref="I194:I257" si="40">H194/17</f>
        <v>0.71176470588235263</v>
      </c>
      <c r="J194">
        <f t="shared" ref="J194:J257" si="41">IF(1+I194/AK$2&lt;0, 0,(1+I194/AK$2))</f>
        <v>3.6295078114896202</v>
      </c>
      <c r="K194">
        <f t="shared" ref="K194:K257" si="42">IF(C194=X$2, AB$2, IF(C194 = X$3, AB$3, IF(C194 = X$4, AB$4, IF(C194 = X$5, AB$5, IF(C194=X$6, AB$6, IF(C194=X$7, AB$7, ""))))))</f>
        <v>0.94226603101549489</v>
      </c>
      <c r="L194">
        <f t="shared" ref="L194:L257" si="43">M194/AN$21*AN$12</f>
        <v>3.239963924278793</v>
      </c>
      <c r="M194" s="4">
        <f t="shared" ref="M194:M257" si="44">J194*K194</f>
        <v>3.4199619200720592</v>
      </c>
      <c r="N194">
        <f t="shared" ref="N194:N257" si="45">M194*1.25</f>
        <v>4.2749524000900738</v>
      </c>
      <c r="O194" cm="1">
        <f t="array" ref="O194:Q194">_xlfn.XLOOKUP(C194, X$2:X$7, AG$2:AI$7)</f>
        <v>57.8</v>
      </c>
      <c r="P194">
        <v>-6.4299999999999996E-2</v>
      </c>
      <c r="Q194">
        <v>0</v>
      </c>
      <c r="R194">
        <f t="shared" ref="R194:R257" si="46">IF(Q194=0,1.167*O194*EXP(P194*G194),1.167*(O194*G194^2+P194*G194+Q194))</f>
        <v>0.85131346347970516</v>
      </c>
      <c r="S194" s="4">
        <f t="shared" ref="S194:S257" si="47">IF(OR(H194&lt;0, R194&lt;1), 1, R194)</f>
        <v>1</v>
      </c>
      <c r="T194">
        <f t="shared" ref="T194:T257" si="48">M194-S194</f>
        <v>2.4199619200720592</v>
      </c>
      <c r="U194">
        <f t="shared" ref="U194:U257" si="49">N194-S194</f>
        <v>3.2749524000900738</v>
      </c>
      <c r="V194">
        <v>1</v>
      </c>
      <c r="AB194" s="3"/>
    </row>
    <row r="195" spans="1:28">
      <c r="A195" t="s">
        <v>605</v>
      </c>
      <c r="B195" t="s">
        <v>72</v>
      </c>
      <c r="C195" t="s">
        <v>729</v>
      </c>
      <c r="D195" s="1">
        <v>99</v>
      </c>
      <c r="E195" s="1">
        <f t="shared" si="38"/>
        <v>82.5</v>
      </c>
      <c r="F195">
        <v>92</v>
      </c>
      <c r="G195" s="1">
        <v>19</v>
      </c>
      <c r="H195">
        <f t="shared" si="39"/>
        <v>9.5</v>
      </c>
      <c r="I195">
        <f t="shared" si="40"/>
        <v>0.55882352941176472</v>
      </c>
      <c r="J195">
        <f t="shared" si="41"/>
        <v>3.0644896040620995</v>
      </c>
      <c r="K195">
        <f t="shared" si="42"/>
        <v>1.0909252297006058</v>
      </c>
      <c r="L195">
        <f t="shared" si="43"/>
        <v>3.1671748660041135</v>
      </c>
      <c r="M195" s="4">
        <f t="shared" si="44"/>
        <v>3.3431290252265642</v>
      </c>
      <c r="N195">
        <f t="shared" si="45"/>
        <v>4.178911281533205</v>
      </c>
      <c r="O195" cm="1">
        <f t="array" ref="O195:Q195">_xlfn.XLOOKUP(C195, X$2:X$7, AG$2:AI$7)</f>
        <v>55.4</v>
      </c>
      <c r="P195">
        <v>-0.253</v>
      </c>
      <c r="Q195">
        <v>0</v>
      </c>
      <c r="R195">
        <f t="shared" si="46"/>
        <v>0.52835648984361527</v>
      </c>
      <c r="S195" s="4">
        <f t="shared" si="47"/>
        <v>1</v>
      </c>
      <c r="T195">
        <f t="shared" si="48"/>
        <v>2.3431290252265642</v>
      </c>
      <c r="U195">
        <f t="shared" si="49"/>
        <v>3.178911281533205</v>
      </c>
      <c r="AB195" s="3"/>
    </row>
    <row r="196" spans="1:28">
      <c r="A196" t="s">
        <v>16</v>
      </c>
      <c r="C196" t="s">
        <v>38</v>
      </c>
      <c r="D196" s="1">
        <v>108.4</v>
      </c>
      <c r="E196" s="1">
        <f t="shared" si="38"/>
        <v>90</v>
      </c>
      <c r="F196">
        <v>104.5</v>
      </c>
      <c r="G196" s="1">
        <v>15</v>
      </c>
      <c r="H196">
        <f t="shared" si="39"/>
        <v>14.5</v>
      </c>
      <c r="I196">
        <f t="shared" si="40"/>
        <v>0.8529411764705882</v>
      </c>
      <c r="J196">
        <f t="shared" si="41"/>
        <v>4.1510630798842563</v>
      </c>
      <c r="K196">
        <f t="shared" si="42"/>
        <v>0.79844160049776736</v>
      </c>
      <c r="L196">
        <f t="shared" si="43"/>
        <v>3.1399403203610312</v>
      </c>
      <c r="M196" s="4">
        <f t="shared" si="44"/>
        <v>3.3143814492699772</v>
      </c>
      <c r="N196">
        <f t="shared" si="45"/>
        <v>4.1429768115874719</v>
      </c>
      <c r="O196" cm="1">
        <f t="array" ref="O196:Q196">_xlfn.XLOOKUP(C196, X$2:X$7, AG$2:AI$7)</f>
        <v>6.77</v>
      </c>
      <c r="P196">
        <v>-0.23300000000000001</v>
      </c>
      <c r="Q196">
        <v>0</v>
      </c>
      <c r="R196">
        <f t="shared" si="46"/>
        <v>0.23977301841089299</v>
      </c>
      <c r="S196" s="4">
        <f t="shared" si="47"/>
        <v>1</v>
      </c>
      <c r="T196">
        <f t="shared" si="48"/>
        <v>2.3143814492699772</v>
      </c>
      <c r="U196">
        <f t="shared" si="49"/>
        <v>3.1429768115874719</v>
      </c>
      <c r="AB196" s="3"/>
    </row>
    <row r="197" spans="1:28">
      <c r="A197" t="s">
        <v>17</v>
      </c>
      <c r="C197" t="s">
        <v>38</v>
      </c>
      <c r="D197" s="1">
        <v>108.4</v>
      </c>
      <c r="E197" s="1">
        <f t="shared" si="38"/>
        <v>90</v>
      </c>
      <c r="F197">
        <v>104.4</v>
      </c>
      <c r="G197" s="1">
        <v>16</v>
      </c>
      <c r="H197">
        <f t="shared" si="39"/>
        <v>14.400000000000006</v>
      </c>
      <c r="I197">
        <f t="shared" si="40"/>
        <v>0.84705882352941209</v>
      </c>
      <c r="J197">
        <f t="shared" si="41"/>
        <v>4.1293316103678155</v>
      </c>
      <c r="K197">
        <f t="shared" si="42"/>
        <v>0.79844160049776736</v>
      </c>
      <c r="L197">
        <f t="shared" si="43"/>
        <v>3.1235022378645172</v>
      </c>
      <c r="M197" s="4">
        <f t="shared" si="44"/>
        <v>3.2970301399681015</v>
      </c>
      <c r="N197">
        <f t="shared" si="45"/>
        <v>4.1212876749601266</v>
      </c>
      <c r="O197" cm="1">
        <f t="array" ref="O197:Q197">_xlfn.XLOOKUP(C197, X$2:X$7, AG$2:AI$7)</f>
        <v>6.77</v>
      </c>
      <c r="P197">
        <v>-0.23300000000000001</v>
      </c>
      <c r="Q197">
        <v>0</v>
      </c>
      <c r="R197">
        <f t="shared" si="46"/>
        <v>0.18993705336889999</v>
      </c>
      <c r="S197" s="4">
        <f t="shared" si="47"/>
        <v>1</v>
      </c>
      <c r="T197">
        <f t="shared" si="48"/>
        <v>2.2970301399681015</v>
      </c>
      <c r="U197">
        <f t="shared" si="49"/>
        <v>3.1212876749601266</v>
      </c>
      <c r="AB197" s="3"/>
    </row>
    <row r="198" spans="1:28">
      <c r="A198" t="s">
        <v>18</v>
      </c>
      <c r="C198" t="s">
        <v>38</v>
      </c>
      <c r="D198" s="1">
        <v>108.4</v>
      </c>
      <c r="E198" s="1">
        <f t="shared" si="38"/>
        <v>90</v>
      </c>
      <c r="F198">
        <v>104</v>
      </c>
      <c r="G198" s="1">
        <v>17</v>
      </c>
      <c r="H198">
        <f t="shared" si="39"/>
        <v>14</v>
      </c>
      <c r="I198">
        <f t="shared" si="40"/>
        <v>0.82352941176470584</v>
      </c>
      <c r="J198">
        <f t="shared" si="41"/>
        <v>4.0424057323020417</v>
      </c>
      <c r="K198">
        <f t="shared" si="42"/>
        <v>0.79844160049776736</v>
      </c>
      <c r="L198">
        <f t="shared" si="43"/>
        <v>3.0577499078784554</v>
      </c>
      <c r="M198" s="4">
        <f t="shared" si="44"/>
        <v>3.2276249027605917</v>
      </c>
      <c r="N198">
        <f t="shared" si="45"/>
        <v>4.0345311284507392</v>
      </c>
      <c r="O198" cm="1">
        <f t="array" ref="O198:Q198">_xlfn.XLOOKUP(C198, X$2:X$7, AG$2:AI$7)</f>
        <v>6.77</v>
      </c>
      <c r="P198">
        <v>-0.23300000000000001</v>
      </c>
      <c r="Q198">
        <v>0</v>
      </c>
      <c r="R198">
        <f t="shared" si="46"/>
        <v>0.15045931557085246</v>
      </c>
      <c r="S198" s="4">
        <f t="shared" si="47"/>
        <v>1</v>
      </c>
      <c r="T198">
        <f t="shared" si="48"/>
        <v>2.2276249027605917</v>
      </c>
      <c r="U198">
        <f t="shared" si="49"/>
        <v>3.0345311284507392</v>
      </c>
      <c r="AB198" s="3"/>
    </row>
    <row r="199" spans="1:28">
      <c r="A199" t="s">
        <v>228</v>
      </c>
      <c r="B199" t="s">
        <v>78</v>
      </c>
      <c r="C199" t="s">
        <v>407</v>
      </c>
      <c r="D199" s="1">
        <v>116.9</v>
      </c>
      <c r="E199" s="1">
        <f t="shared" si="38"/>
        <v>93.4</v>
      </c>
      <c r="F199">
        <v>104.4</v>
      </c>
      <c r="G199" s="1">
        <v>69</v>
      </c>
      <c r="H199">
        <f t="shared" si="39"/>
        <v>11</v>
      </c>
      <c r="I199">
        <f t="shared" si="40"/>
        <v>0.6470588235294118</v>
      </c>
      <c r="J199">
        <f t="shared" si="41"/>
        <v>3.3904616468087467</v>
      </c>
      <c r="K199">
        <f t="shared" si="42"/>
        <v>0.94226603101549489</v>
      </c>
      <c r="L199">
        <f t="shared" si="43"/>
        <v>3.0265738477093294</v>
      </c>
      <c r="M199" s="4">
        <f t="shared" si="44"/>
        <v>3.1947168392487364</v>
      </c>
      <c r="N199">
        <f t="shared" si="45"/>
        <v>3.9933960490609204</v>
      </c>
      <c r="O199" cm="1">
        <f t="array" ref="O199:Q199">_xlfn.XLOOKUP(C199, X$2:X$7, AG$2:AI$7)</f>
        <v>57.8</v>
      </c>
      <c r="P199">
        <v>-6.4299999999999996E-2</v>
      </c>
      <c r="Q199">
        <v>0</v>
      </c>
      <c r="R199">
        <f t="shared" si="46"/>
        <v>0.79829675995685045</v>
      </c>
      <c r="S199" s="4">
        <f t="shared" si="47"/>
        <v>1</v>
      </c>
      <c r="T199">
        <f t="shared" si="48"/>
        <v>2.1947168392487364</v>
      </c>
      <c r="U199">
        <f t="shared" si="49"/>
        <v>2.9933960490609204</v>
      </c>
      <c r="AB199" s="3"/>
    </row>
    <row r="200" spans="1:28">
      <c r="A200" t="s">
        <v>19</v>
      </c>
      <c r="C200" t="s">
        <v>38</v>
      </c>
      <c r="D200" s="1">
        <v>108.4</v>
      </c>
      <c r="E200" s="1">
        <f t="shared" si="38"/>
        <v>90</v>
      </c>
      <c r="F200">
        <v>103.5</v>
      </c>
      <c r="G200" s="1">
        <v>18</v>
      </c>
      <c r="H200">
        <f t="shared" si="39"/>
        <v>13.5</v>
      </c>
      <c r="I200">
        <f t="shared" si="40"/>
        <v>0.79411764705882348</v>
      </c>
      <c r="J200">
        <f t="shared" si="41"/>
        <v>3.9337483847198254</v>
      </c>
      <c r="K200">
        <f t="shared" si="42"/>
        <v>0.79844160049776736</v>
      </c>
      <c r="L200">
        <f t="shared" si="43"/>
        <v>2.9755594953958777</v>
      </c>
      <c r="M200" s="4">
        <f t="shared" si="44"/>
        <v>3.1408683562512043</v>
      </c>
      <c r="N200">
        <f t="shared" si="45"/>
        <v>3.9260854453140053</v>
      </c>
      <c r="O200" cm="1">
        <f t="array" ref="O200:Q200">_xlfn.XLOOKUP(C200, X$2:X$7, AG$2:AI$7)</f>
        <v>6.77</v>
      </c>
      <c r="P200">
        <v>-0.23300000000000001</v>
      </c>
      <c r="Q200">
        <v>0</v>
      </c>
      <c r="R200">
        <f t="shared" si="46"/>
        <v>0.11918688449947328</v>
      </c>
      <c r="S200" s="4">
        <f t="shared" si="47"/>
        <v>1</v>
      </c>
      <c r="T200">
        <f t="shared" si="48"/>
        <v>2.1408683562512043</v>
      </c>
      <c r="U200">
        <f t="shared" si="49"/>
        <v>2.9260854453140053</v>
      </c>
      <c r="AB200" s="3"/>
    </row>
    <row r="201" spans="1:28">
      <c r="A201" t="s">
        <v>20</v>
      </c>
      <c r="C201" t="s">
        <v>38</v>
      </c>
      <c r="D201" s="1">
        <v>108.4</v>
      </c>
      <c r="E201" s="1">
        <f t="shared" si="38"/>
        <v>90</v>
      </c>
      <c r="F201">
        <v>103.2</v>
      </c>
      <c r="G201" s="1">
        <v>19</v>
      </c>
      <c r="H201">
        <f t="shared" si="39"/>
        <v>13.200000000000003</v>
      </c>
      <c r="I201">
        <f t="shared" si="40"/>
        <v>0.77647058823529425</v>
      </c>
      <c r="J201">
        <f t="shared" si="41"/>
        <v>3.8685539761704963</v>
      </c>
      <c r="K201">
        <f t="shared" si="42"/>
        <v>0.79844160049776736</v>
      </c>
      <c r="L201">
        <f t="shared" si="43"/>
        <v>2.9262452479063326</v>
      </c>
      <c r="M201" s="4">
        <f t="shared" si="44"/>
        <v>3.088814428345573</v>
      </c>
      <c r="N201">
        <f t="shared" si="45"/>
        <v>3.8610180354319663</v>
      </c>
      <c r="O201" cm="1">
        <f t="array" ref="O201:Q201">_xlfn.XLOOKUP(C201, X$2:X$7, AG$2:AI$7)</f>
        <v>6.77</v>
      </c>
      <c r="P201">
        <v>-0.23300000000000001</v>
      </c>
      <c r="Q201">
        <v>0</v>
      </c>
      <c r="R201">
        <f t="shared" si="46"/>
        <v>9.4414316473487359E-2</v>
      </c>
      <c r="S201" s="4">
        <f t="shared" si="47"/>
        <v>1</v>
      </c>
      <c r="T201">
        <f t="shared" si="48"/>
        <v>2.088814428345573</v>
      </c>
      <c r="U201">
        <f t="shared" si="49"/>
        <v>2.8610180354319663</v>
      </c>
      <c r="AB201" s="3"/>
    </row>
    <row r="202" spans="1:28">
      <c r="A202" t="s">
        <v>21</v>
      </c>
      <c r="C202" t="s">
        <v>38</v>
      </c>
      <c r="D202" s="1">
        <v>108.4</v>
      </c>
      <c r="E202" s="1">
        <f t="shared" si="38"/>
        <v>90</v>
      </c>
      <c r="F202">
        <v>103</v>
      </c>
      <c r="G202" s="1">
        <v>20</v>
      </c>
      <c r="H202">
        <f t="shared" si="39"/>
        <v>13</v>
      </c>
      <c r="I202">
        <f t="shared" si="40"/>
        <v>0.76470588235294112</v>
      </c>
      <c r="J202">
        <f t="shared" si="41"/>
        <v>3.8250910371376095</v>
      </c>
      <c r="K202">
        <f t="shared" si="42"/>
        <v>0.79844160049776736</v>
      </c>
      <c r="L202">
        <f t="shared" si="43"/>
        <v>2.8933690829133014</v>
      </c>
      <c r="M202" s="4">
        <f t="shared" si="44"/>
        <v>3.0541118097418178</v>
      </c>
      <c r="N202">
        <f t="shared" si="45"/>
        <v>3.8176397621772722</v>
      </c>
      <c r="O202" cm="1">
        <f t="array" ref="O202:Q202">_xlfn.XLOOKUP(C202, X$2:X$7, AG$2:AI$7)</f>
        <v>6.77</v>
      </c>
      <c r="P202">
        <v>-0.23300000000000001</v>
      </c>
      <c r="Q202">
        <v>0</v>
      </c>
      <c r="R202">
        <f t="shared" si="46"/>
        <v>7.4790638186328556E-2</v>
      </c>
      <c r="S202" s="4">
        <f t="shared" si="47"/>
        <v>1</v>
      </c>
      <c r="T202">
        <f t="shared" si="48"/>
        <v>2.0541118097418178</v>
      </c>
      <c r="U202">
        <f t="shared" si="49"/>
        <v>2.8176397621772722</v>
      </c>
      <c r="AB202" s="3"/>
    </row>
    <row r="203" spans="1:28">
      <c r="A203" t="s">
        <v>229</v>
      </c>
      <c r="B203" t="s">
        <v>54</v>
      </c>
      <c r="C203" t="s">
        <v>407</v>
      </c>
      <c r="D203" s="1">
        <v>116.9</v>
      </c>
      <c r="E203" s="1">
        <f t="shared" si="38"/>
        <v>93.4</v>
      </c>
      <c r="F203">
        <v>102.8</v>
      </c>
      <c r="G203" s="1">
        <v>70</v>
      </c>
      <c r="H203">
        <f t="shared" si="39"/>
        <v>9.3999999999999915</v>
      </c>
      <c r="I203">
        <f t="shared" si="40"/>
        <v>0.55294117647058771</v>
      </c>
      <c r="J203">
        <f t="shared" si="41"/>
        <v>3.0427581345456542</v>
      </c>
      <c r="K203">
        <f t="shared" si="42"/>
        <v>0.94226603101549489</v>
      </c>
      <c r="L203">
        <f t="shared" si="43"/>
        <v>2.7161882817901057</v>
      </c>
      <c r="M203" s="4">
        <f t="shared" si="44"/>
        <v>2.8670876307784448</v>
      </c>
      <c r="N203">
        <f t="shared" si="45"/>
        <v>3.5838595384730558</v>
      </c>
      <c r="O203" cm="1">
        <f t="array" ref="O203:Q203">_xlfn.XLOOKUP(C203, X$2:X$7, AG$2:AI$7)</f>
        <v>57.8</v>
      </c>
      <c r="P203">
        <v>-6.4299999999999996E-2</v>
      </c>
      <c r="Q203">
        <v>0</v>
      </c>
      <c r="R203">
        <f t="shared" si="46"/>
        <v>0.74858174373604069</v>
      </c>
      <c r="S203" s="4">
        <f t="shared" si="47"/>
        <v>1</v>
      </c>
      <c r="T203">
        <f t="shared" si="48"/>
        <v>1.8670876307784448</v>
      </c>
      <c r="U203">
        <f t="shared" si="49"/>
        <v>2.5838595384730558</v>
      </c>
      <c r="V203">
        <v>1</v>
      </c>
      <c r="AB203" s="3"/>
    </row>
    <row r="204" spans="1:28">
      <c r="A204" t="s">
        <v>97</v>
      </c>
      <c r="B204" t="s">
        <v>98</v>
      </c>
      <c r="C204" t="s">
        <v>159</v>
      </c>
      <c r="D204" s="1">
        <v>228</v>
      </c>
      <c r="E204" s="1">
        <f t="shared" si="38"/>
        <v>190</v>
      </c>
      <c r="F204">
        <v>207.9</v>
      </c>
      <c r="G204" s="1">
        <v>30</v>
      </c>
      <c r="H204">
        <f t="shared" si="39"/>
        <v>17.900000000000006</v>
      </c>
      <c r="I204">
        <f t="shared" si="40"/>
        <v>1.0529411764705885</v>
      </c>
      <c r="J204">
        <f t="shared" si="41"/>
        <v>4.8899330434433246</v>
      </c>
      <c r="K204">
        <f t="shared" si="42"/>
        <v>0.57566309754037293</v>
      </c>
      <c r="L204">
        <f t="shared" si="43"/>
        <v>2.6667985287349967</v>
      </c>
      <c r="M204" s="4">
        <f t="shared" si="44"/>
        <v>2.8149540025536073</v>
      </c>
      <c r="N204">
        <f t="shared" si="45"/>
        <v>3.5186925031920091</v>
      </c>
      <c r="O204" cm="1">
        <f t="array" ref="O204:Q204">_xlfn.XLOOKUP(C204, X$2:X$7, AG$2:AI$7)</f>
        <v>56.4</v>
      </c>
      <c r="P204">
        <v>-0.16300000000000001</v>
      </c>
      <c r="Q204">
        <v>0</v>
      </c>
      <c r="R204">
        <f t="shared" si="46"/>
        <v>0.49505100159708659</v>
      </c>
      <c r="S204" s="4">
        <f t="shared" si="47"/>
        <v>1</v>
      </c>
      <c r="T204">
        <f t="shared" si="48"/>
        <v>1.8149540025536073</v>
      </c>
      <c r="U204">
        <f t="shared" si="49"/>
        <v>2.5186925031920091</v>
      </c>
      <c r="AB204" s="3"/>
    </row>
    <row r="205" spans="1:28">
      <c r="A205" t="s">
        <v>22</v>
      </c>
      <c r="C205" t="s">
        <v>38</v>
      </c>
      <c r="D205" s="1">
        <v>108.4</v>
      </c>
      <c r="E205" s="1">
        <f t="shared" si="38"/>
        <v>90</v>
      </c>
      <c r="F205">
        <v>101.5</v>
      </c>
      <c r="G205" s="1">
        <v>21</v>
      </c>
      <c r="H205">
        <f t="shared" si="39"/>
        <v>11.5</v>
      </c>
      <c r="I205">
        <f t="shared" si="40"/>
        <v>0.67647058823529416</v>
      </c>
      <c r="J205">
        <f t="shared" si="41"/>
        <v>3.4991189943909626</v>
      </c>
      <c r="K205">
        <f t="shared" si="42"/>
        <v>0.79844160049776736</v>
      </c>
      <c r="L205">
        <f t="shared" si="43"/>
        <v>2.6467978454655712</v>
      </c>
      <c r="M205" s="4">
        <f t="shared" si="44"/>
        <v>2.7938421702136584</v>
      </c>
      <c r="N205">
        <f t="shared" si="45"/>
        <v>3.4923027127670729</v>
      </c>
      <c r="O205" cm="1">
        <f t="array" ref="O205:Q205">_xlfn.XLOOKUP(C205, X$2:X$7, AG$2:AI$7)</f>
        <v>6.77</v>
      </c>
      <c r="P205">
        <v>-0.23300000000000001</v>
      </c>
      <c r="Q205">
        <v>0</v>
      </c>
      <c r="R205">
        <f t="shared" si="46"/>
        <v>5.9245671305464147E-2</v>
      </c>
      <c r="S205" s="4">
        <f t="shared" si="47"/>
        <v>1</v>
      </c>
      <c r="T205">
        <f t="shared" si="48"/>
        <v>1.7938421702136584</v>
      </c>
      <c r="U205">
        <f t="shared" si="49"/>
        <v>2.4923027127670729</v>
      </c>
      <c r="AB205" s="3"/>
    </row>
    <row r="206" spans="1:28">
      <c r="A206" t="s">
        <v>23</v>
      </c>
      <c r="C206" t="s">
        <v>38</v>
      </c>
      <c r="D206" s="1">
        <v>108.4</v>
      </c>
      <c r="E206" s="1">
        <f t="shared" si="38"/>
        <v>90</v>
      </c>
      <c r="F206">
        <v>100.4</v>
      </c>
      <c r="G206" s="1">
        <v>22</v>
      </c>
      <c r="H206">
        <f t="shared" si="39"/>
        <v>10.400000000000006</v>
      </c>
      <c r="I206">
        <f t="shared" si="40"/>
        <v>0.61176470588235332</v>
      </c>
      <c r="J206">
        <f t="shared" si="41"/>
        <v>3.2600728297100892</v>
      </c>
      <c r="K206">
        <f t="shared" si="42"/>
        <v>0.79844160049776736</v>
      </c>
      <c r="L206">
        <f t="shared" si="43"/>
        <v>2.4659789380039032</v>
      </c>
      <c r="M206" s="4">
        <f t="shared" si="44"/>
        <v>2.6029777678930088</v>
      </c>
      <c r="N206">
        <f t="shared" si="45"/>
        <v>3.253722209866261</v>
      </c>
      <c r="O206" cm="1">
        <f t="array" ref="O206:Q206">_xlfn.XLOOKUP(C206, X$2:X$7, AG$2:AI$7)</f>
        <v>6.77</v>
      </c>
      <c r="P206">
        <v>-0.23300000000000001</v>
      </c>
      <c r="Q206">
        <v>0</v>
      </c>
      <c r="R206">
        <f t="shared" si="46"/>
        <v>4.6931670240470354E-2</v>
      </c>
      <c r="S206" s="4">
        <f t="shared" si="47"/>
        <v>1</v>
      </c>
      <c r="T206">
        <f t="shared" si="48"/>
        <v>1.6029777678930088</v>
      </c>
      <c r="U206">
        <f t="shared" si="49"/>
        <v>2.253722209866261</v>
      </c>
      <c r="AB206" s="3"/>
    </row>
    <row r="207" spans="1:28">
      <c r="A207" t="s">
        <v>24</v>
      </c>
      <c r="C207" t="s">
        <v>38</v>
      </c>
      <c r="D207" s="1">
        <v>108.4</v>
      </c>
      <c r="E207" s="1">
        <f t="shared" si="38"/>
        <v>90</v>
      </c>
      <c r="F207">
        <v>100.2</v>
      </c>
      <c r="G207" s="1">
        <v>23</v>
      </c>
      <c r="H207">
        <f t="shared" si="39"/>
        <v>10.200000000000003</v>
      </c>
      <c r="I207">
        <f t="shared" si="40"/>
        <v>0.6000000000000002</v>
      </c>
      <c r="J207">
        <f t="shared" si="41"/>
        <v>3.2166098906772023</v>
      </c>
      <c r="K207">
        <f t="shared" si="42"/>
        <v>0.79844160049776736</v>
      </c>
      <c r="L207">
        <f t="shared" si="43"/>
        <v>2.4331027730108716</v>
      </c>
      <c r="M207" s="4">
        <f t="shared" si="44"/>
        <v>2.5682751492892537</v>
      </c>
      <c r="N207">
        <f t="shared" si="45"/>
        <v>3.2103439366115669</v>
      </c>
      <c r="O207" cm="1">
        <f t="array" ref="O207:Q207">_xlfn.XLOOKUP(C207, X$2:X$7, AG$2:AI$7)</f>
        <v>6.77</v>
      </c>
      <c r="P207">
        <v>-0.23300000000000001</v>
      </c>
      <c r="Q207">
        <v>0</v>
      </c>
      <c r="R207">
        <f t="shared" si="46"/>
        <v>3.7177090292453301E-2</v>
      </c>
      <c r="S207" s="4">
        <f t="shared" si="47"/>
        <v>1</v>
      </c>
      <c r="T207">
        <f t="shared" si="48"/>
        <v>1.5682751492892537</v>
      </c>
      <c r="U207">
        <f t="shared" si="49"/>
        <v>2.2103439366115669</v>
      </c>
      <c r="AB207" s="3"/>
    </row>
    <row r="208" spans="1:28">
      <c r="A208" t="s">
        <v>26</v>
      </c>
      <c r="C208" t="s">
        <v>38</v>
      </c>
      <c r="D208" s="1">
        <v>108.4</v>
      </c>
      <c r="E208" s="1">
        <f t="shared" si="38"/>
        <v>90</v>
      </c>
      <c r="F208">
        <v>99.9</v>
      </c>
      <c r="G208" s="1">
        <v>25</v>
      </c>
      <c r="H208">
        <f t="shared" si="39"/>
        <v>9.9000000000000057</v>
      </c>
      <c r="I208">
        <f t="shared" si="40"/>
        <v>0.58235294117647096</v>
      </c>
      <c r="J208">
        <f t="shared" si="41"/>
        <v>3.1514154821278733</v>
      </c>
      <c r="K208">
        <f t="shared" si="42"/>
        <v>0.79844160049776736</v>
      </c>
      <c r="L208">
        <f t="shared" si="43"/>
        <v>2.3837885255213265</v>
      </c>
      <c r="M208" s="4">
        <f t="shared" si="44"/>
        <v>2.5162212213836224</v>
      </c>
      <c r="N208">
        <f t="shared" si="45"/>
        <v>3.145276526729528</v>
      </c>
      <c r="O208" cm="1">
        <f t="array" ref="O208:Q208">_xlfn.XLOOKUP(C208, X$2:X$7, AG$2:AI$7)</f>
        <v>6.77</v>
      </c>
      <c r="P208">
        <v>-0.23300000000000001</v>
      </c>
      <c r="Q208">
        <v>0</v>
      </c>
      <c r="R208">
        <f t="shared" si="46"/>
        <v>2.3328894958200126E-2</v>
      </c>
      <c r="S208" s="4">
        <f t="shared" si="47"/>
        <v>1</v>
      </c>
      <c r="T208">
        <f t="shared" si="48"/>
        <v>1.5162212213836224</v>
      </c>
      <c r="U208">
        <f t="shared" si="49"/>
        <v>2.145276526729528</v>
      </c>
      <c r="AB208" s="3"/>
    </row>
    <row r="209" spans="1:28">
      <c r="A209" t="s">
        <v>25</v>
      </c>
      <c r="C209" t="s">
        <v>38</v>
      </c>
      <c r="D209" s="1">
        <v>108.4</v>
      </c>
      <c r="E209" s="1">
        <f t="shared" si="38"/>
        <v>90</v>
      </c>
      <c r="F209">
        <v>99.9</v>
      </c>
      <c r="G209" s="1">
        <v>24</v>
      </c>
      <c r="H209">
        <f t="shared" si="39"/>
        <v>9.9000000000000057</v>
      </c>
      <c r="I209">
        <f t="shared" si="40"/>
        <v>0.58235294117647096</v>
      </c>
      <c r="J209">
        <f t="shared" si="41"/>
        <v>3.1514154821278733</v>
      </c>
      <c r="K209">
        <f t="shared" si="42"/>
        <v>0.79844160049776736</v>
      </c>
      <c r="L209">
        <f t="shared" si="43"/>
        <v>2.3837885255213265</v>
      </c>
      <c r="M209" s="4">
        <f t="shared" si="44"/>
        <v>2.5162212213836224</v>
      </c>
      <c r="N209">
        <f t="shared" si="45"/>
        <v>3.145276526729528</v>
      </c>
      <c r="O209" cm="1">
        <f t="array" ref="O209:Q209">_xlfn.XLOOKUP(C209, X$2:X$7, AG$2:AI$7)</f>
        <v>6.77</v>
      </c>
      <c r="P209">
        <v>-0.23300000000000001</v>
      </c>
      <c r="Q209">
        <v>0</v>
      </c>
      <c r="R209">
        <f t="shared" si="46"/>
        <v>2.9449964928402954E-2</v>
      </c>
      <c r="S209" s="4">
        <f t="shared" si="47"/>
        <v>1</v>
      </c>
      <c r="T209">
        <f t="shared" si="48"/>
        <v>1.5162212213836224</v>
      </c>
      <c r="U209">
        <f t="shared" si="49"/>
        <v>2.145276526729528</v>
      </c>
      <c r="AB209" s="3"/>
    </row>
    <row r="210" spans="1:28">
      <c r="A210" t="s">
        <v>27</v>
      </c>
      <c r="C210" t="s">
        <v>38</v>
      </c>
      <c r="D210" s="1">
        <v>108.4</v>
      </c>
      <c r="E210" s="1">
        <f t="shared" si="38"/>
        <v>90</v>
      </c>
      <c r="F210">
        <v>99.8</v>
      </c>
      <c r="G210" s="1">
        <v>26</v>
      </c>
      <c r="H210">
        <f t="shared" si="39"/>
        <v>9.7999999999999972</v>
      </c>
      <c r="I210">
        <f t="shared" si="40"/>
        <v>0.57647058823529396</v>
      </c>
      <c r="J210">
        <f t="shared" si="41"/>
        <v>3.1296840126114285</v>
      </c>
      <c r="K210">
        <f t="shared" si="42"/>
        <v>0.79844160049776736</v>
      </c>
      <c r="L210">
        <f t="shared" si="43"/>
        <v>2.3673504430248098</v>
      </c>
      <c r="M210" s="4">
        <f t="shared" si="44"/>
        <v>2.4988699120817435</v>
      </c>
      <c r="N210">
        <f t="shared" si="45"/>
        <v>3.1235873901021796</v>
      </c>
      <c r="O210" cm="1">
        <f t="array" ref="O210:Q210">_xlfn.XLOOKUP(C210, X$2:X$7, AG$2:AI$7)</f>
        <v>6.77</v>
      </c>
      <c r="P210">
        <v>-0.23300000000000001</v>
      </c>
      <c r="Q210">
        <v>0</v>
      </c>
      <c r="R210">
        <f t="shared" si="46"/>
        <v>1.848006750751157E-2</v>
      </c>
      <c r="S210" s="4">
        <f t="shared" si="47"/>
        <v>1</v>
      </c>
      <c r="T210">
        <f t="shared" si="48"/>
        <v>1.4988699120817435</v>
      </c>
      <c r="U210">
        <f t="shared" si="49"/>
        <v>2.1235873901021796</v>
      </c>
      <c r="AB210" s="3"/>
    </row>
    <row r="211" spans="1:28">
      <c r="A211" t="s">
        <v>28</v>
      </c>
      <c r="C211" t="s">
        <v>38</v>
      </c>
      <c r="D211" s="1">
        <v>108.4</v>
      </c>
      <c r="E211" s="1">
        <f t="shared" si="38"/>
        <v>90</v>
      </c>
      <c r="F211">
        <v>99.7</v>
      </c>
      <c r="G211" s="1">
        <v>27</v>
      </c>
      <c r="H211">
        <f t="shared" si="39"/>
        <v>9.7000000000000028</v>
      </c>
      <c r="I211">
        <f t="shared" si="40"/>
        <v>0.57058823529411784</v>
      </c>
      <c r="J211">
        <f t="shared" si="41"/>
        <v>3.1079525430949864</v>
      </c>
      <c r="K211">
        <f t="shared" si="42"/>
        <v>0.79844160049776736</v>
      </c>
      <c r="L211">
        <f t="shared" si="43"/>
        <v>2.3509123605282953</v>
      </c>
      <c r="M211" s="4">
        <f t="shared" si="44"/>
        <v>2.4815186027798672</v>
      </c>
      <c r="N211">
        <f t="shared" si="45"/>
        <v>3.1018982534748343</v>
      </c>
      <c r="O211" cm="1">
        <f t="array" ref="O211:Q211">_xlfn.XLOOKUP(C211, X$2:X$7, AG$2:AI$7)</f>
        <v>6.77</v>
      </c>
      <c r="P211">
        <v>-0.23300000000000001</v>
      </c>
      <c r="Q211">
        <v>0</v>
      </c>
      <c r="R211">
        <f t="shared" si="46"/>
        <v>1.4639051515045859E-2</v>
      </c>
      <c r="S211" s="4">
        <f t="shared" si="47"/>
        <v>1</v>
      </c>
      <c r="T211">
        <f t="shared" si="48"/>
        <v>1.4815186027798672</v>
      </c>
      <c r="U211">
        <f t="shared" si="49"/>
        <v>2.1018982534748343</v>
      </c>
      <c r="AB211" s="3"/>
    </row>
    <row r="212" spans="1:28">
      <c r="A212" t="s">
        <v>29</v>
      </c>
      <c r="C212" t="s">
        <v>38</v>
      </c>
      <c r="D212" s="1">
        <v>108.4</v>
      </c>
      <c r="E212" s="1">
        <f t="shared" si="38"/>
        <v>90</v>
      </c>
      <c r="F212">
        <v>98.8</v>
      </c>
      <c r="G212" s="1">
        <v>28</v>
      </c>
      <c r="H212">
        <f t="shared" si="39"/>
        <v>8.7999999999999972</v>
      </c>
      <c r="I212">
        <f t="shared" si="40"/>
        <v>0.51764705882352924</v>
      </c>
      <c r="J212">
        <f t="shared" si="41"/>
        <v>2.9123693174469967</v>
      </c>
      <c r="K212">
        <f t="shared" si="42"/>
        <v>0.79844160049776736</v>
      </c>
      <c r="L212">
        <f t="shared" si="43"/>
        <v>2.2029696180596563</v>
      </c>
      <c r="M212" s="4">
        <f t="shared" si="44"/>
        <v>2.3253568190629705</v>
      </c>
      <c r="N212">
        <f t="shared" si="45"/>
        <v>2.9066960238287134</v>
      </c>
      <c r="O212" cm="1">
        <f t="array" ref="O212:Q212">_xlfn.XLOOKUP(C212, X$2:X$7, AG$2:AI$7)</f>
        <v>6.77</v>
      </c>
      <c r="P212">
        <v>-0.23300000000000001</v>
      </c>
      <c r="Q212">
        <v>0</v>
      </c>
      <c r="R212">
        <f t="shared" si="46"/>
        <v>1.1596376970650104E-2</v>
      </c>
      <c r="S212" s="4">
        <f t="shared" si="47"/>
        <v>1</v>
      </c>
      <c r="T212">
        <f t="shared" si="48"/>
        <v>1.3253568190629705</v>
      </c>
      <c r="U212">
        <f t="shared" si="49"/>
        <v>1.9066960238287134</v>
      </c>
      <c r="AB212" s="3"/>
    </row>
    <row r="213" spans="1:28">
      <c r="A213" t="s">
        <v>230</v>
      </c>
      <c r="B213" t="s">
        <v>62</v>
      </c>
      <c r="C213" t="s">
        <v>407</v>
      </c>
      <c r="D213" s="1">
        <v>116.9</v>
      </c>
      <c r="E213" s="1">
        <f t="shared" si="38"/>
        <v>93.4</v>
      </c>
      <c r="F213">
        <v>99.9</v>
      </c>
      <c r="G213" s="1">
        <v>71</v>
      </c>
      <c r="H213">
        <f t="shared" si="39"/>
        <v>6.5</v>
      </c>
      <c r="I213">
        <f t="shared" si="40"/>
        <v>0.38235294117647056</v>
      </c>
      <c r="J213">
        <f t="shared" si="41"/>
        <v>2.4125455185688045</v>
      </c>
      <c r="K213">
        <f t="shared" si="42"/>
        <v>0.94226603101549489</v>
      </c>
      <c r="L213">
        <f t="shared" si="43"/>
        <v>2.1536144435615179</v>
      </c>
      <c r="M213" s="4">
        <f t="shared" si="44"/>
        <v>2.2732596904260465</v>
      </c>
      <c r="N213">
        <f t="shared" si="45"/>
        <v>2.8415746130325581</v>
      </c>
      <c r="O213" cm="1">
        <f t="array" ref="O213:Q213">_xlfn.XLOOKUP(C213, X$2:X$7, AG$2:AI$7)</f>
        <v>57.8</v>
      </c>
      <c r="P213">
        <v>-6.4299999999999996E-2</v>
      </c>
      <c r="Q213">
        <v>0</v>
      </c>
      <c r="R213">
        <f t="shared" si="46"/>
        <v>0.7019627977510271</v>
      </c>
      <c r="S213" s="4">
        <f t="shared" si="47"/>
        <v>1</v>
      </c>
      <c r="T213">
        <f t="shared" si="48"/>
        <v>1.2732596904260465</v>
      </c>
      <c r="U213">
        <f t="shared" si="49"/>
        <v>1.8415746130325581</v>
      </c>
      <c r="AB213" s="3"/>
    </row>
    <row r="214" spans="1:28">
      <c r="A214" t="s">
        <v>606</v>
      </c>
      <c r="B214" t="s">
        <v>48</v>
      </c>
      <c r="C214" t="s">
        <v>729</v>
      </c>
      <c r="D214" s="1">
        <v>99</v>
      </c>
      <c r="E214" s="1">
        <f t="shared" si="38"/>
        <v>82.5</v>
      </c>
      <c r="F214">
        <v>87.1</v>
      </c>
      <c r="G214" s="1">
        <v>20</v>
      </c>
      <c r="H214">
        <f t="shared" si="39"/>
        <v>4.5999999999999943</v>
      </c>
      <c r="I214">
        <f t="shared" si="40"/>
        <v>0.2705882352941173</v>
      </c>
      <c r="J214">
        <f t="shared" si="41"/>
        <v>1.9996475977563837</v>
      </c>
      <c r="K214">
        <f t="shared" si="42"/>
        <v>1.0909252297006058</v>
      </c>
      <c r="L214">
        <f t="shared" si="43"/>
        <v>2.0666520141182976</v>
      </c>
      <c r="M214" s="4">
        <f t="shared" si="44"/>
        <v>2.1814660149026475</v>
      </c>
      <c r="N214">
        <f t="shared" si="45"/>
        <v>2.7268325186283091</v>
      </c>
      <c r="O214" cm="1">
        <f t="array" ref="O214:Q214">_xlfn.XLOOKUP(C214, X$2:X$7, AG$2:AI$7)</f>
        <v>55.4</v>
      </c>
      <c r="P214">
        <v>-0.253</v>
      </c>
      <c r="Q214">
        <v>0</v>
      </c>
      <c r="R214">
        <f t="shared" si="46"/>
        <v>0.41025184451669716</v>
      </c>
      <c r="S214" s="4">
        <f t="shared" si="47"/>
        <v>1</v>
      </c>
      <c r="T214">
        <f t="shared" si="48"/>
        <v>1.1814660149026475</v>
      </c>
      <c r="U214">
        <f t="shared" si="49"/>
        <v>1.7268325186283091</v>
      </c>
      <c r="AB214" s="3"/>
    </row>
    <row r="215" spans="1:28">
      <c r="A215" t="s">
        <v>30</v>
      </c>
      <c r="C215" t="s">
        <v>38</v>
      </c>
      <c r="D215" s="1">
        <v>108.4</v>
      </c>
      <c r="E215" s="1">
        <f t="shared" si="38"/>
        <v>90</v>
      </c>
      <c r="F215">
        <v>97.6</v>
      </c>
      <c r="G215" s="1">
        <v>29</v>
      </c>
      <c r="H215">
        <f t="shared" si="39"/>
        <v>7.5999999999999943</v>
      </c>
      <c r="I215">
        <f t="shared" si="40"/>
        <v>0.44705882352941145</v>
      </c>
      <c r="J215">
        <f t="shared" si="41"/>
        <v>2.6515916832496784</v>
      </c>
      <c r="K215">
        <f t="shared" si="42"/>
        <v>0.79844160049776736</v>
      </c>
      <c r="L215">
        <f t="shared" si="43"/>
        <v>2.0057126281014712</v>
      </c>
      <c r="M215" s="4">
        <f t="shared" si="44"/>
        <v>2.117141107440442</v>
      </c>
      <c r="N215">
        <f t="shared" si="45"/>
        <v>2.6464263843005527</v>
      </c>
      <c r="O215" cm="1">
        <f t="array" ref="O215:Q215">_xlfn.XLOOKUP(C215, X$2:X$7, AG$2:AI$7)</f>
        <v>6.77</v>
      </c>
      <c r="P215">
        <v>-0.23300000000000001</v>
      </c>
      <c r="Q215">
        <v>0</v>
      </c>
      <c r="R215">
        <f t="shared" si="46"/>
        <v>9.1861114572355327E-3</v>
      </c>
      <c r="S215" s="4">
        <f t="shared" si="47"/>
        <v>1</v>
      </c>
      <c r="T215">
        <f t="shared" si="48"/>
        <v>1.117141107440442</v>
      </c>
      <c r="U215">
        <f t="shared" si="49"/>
        <v>1.6464263843005527</v>
      </c>
      <c r="AB215" s="3"/>
    </row>
    <row r="216" spans="1:28">
      <c r="A216" t="s">
        <v>607</v>
      </c>
      <c r="B216" t="s">
        <v>94</v>
      </c>
      <c r="C216" t="s">
        <v>729</v>
      </c>
      <c r="D216" s="1">
        <v>99</v>
      </c>
      <c r="E216" s="1">
        <f t="shared" si="38"/>
        <v>82.5</v>
      </c>
      <c r="F216">
        <v>86.6</v>
      </c>
      <c r="G216" s="1">
        <v>21</v>
      </c>
      <c r="H216">
        <f t="shared" si="39"/>
        <v>4.0999999999999943</v>
      </c>
      <c r="I216">
        <f t="shared" si="40"/>
        <v>0.24117647058823496</v>
      </c>
      <c r="J216">
        <f t="shared" si="41"/>
        <v>1.890990250174168</v>
      </c>
      <c r="K216">
        <f t="shared" si="42"/>
        <v>1.0909252297006058</v>
      </c>
      <c r="L216">
        <f t="shared" si="43"/>
        <v>1.9543537639258677</v>
      </c>
      <c r="M216" s="4">
        <f t="shared" si="44"/>
        <v>2.0629289730328604</v>
      </c>
      <c r="N216">
        <f t="shared" si="45"/>
        <v>2.5786612162910756</v>
      </c>
      <c r="O216" cm="1">
        <f t="array" ref="O216:Q216">_xlfn.XLOOKUP(C216, X$2:X$7, AG$2:AI$7)</f>
        <v>55.4</v>
      </c>
      <c r="P216">
        <v>-0.253</v>
      </c>
      <c r="Q216">
        <v>0</v>
      </c>
      <c r="R216">
        <f t="shared" si="46"/>
        <v>0.31854738072616151</v>
      </c>
      <c r="S216" s="4">
        <f t="shared" si="47"/>
        <v>1</v>
      </c>
      <c r="T216">
        <f t="shared" si="48"/>
        <v>1.0629289730328604</v>
      </c>
      <c r="U216">
        <f t="shared" si="49"/>
        <v>1.5786612162910756</v>
      </c>
      <c r="AB216" s="3"/>
    </row>
    <row r="217" spans="1:28">
      <c r="A217" t="s">
        <v>231</v>
      </c>
      <c r="B217" t="s">
        <v>66</v>
      </c>
      <c r="C217" t="s">
        <v>407</v>
      </c>
      <c r="D217" s="1">
        <v>116.9</v>
      </c>
      <c r="E217" s="1">
        <f t="shared" si="38"/>
        <v>93.4</v>
      </c>
      <c r="F217">
        <v>98.8</v>
      </c>
      <c r="G217" s="1">
        <v>72</v>
      </c>
      <c r="H217">
        <f t="shared" si="39"/>
        <v>5.3999999999999915</v>
      </c>
      <c r="I217">
        <f t="shared" si="40"/>
        <v>0.31764705882352889</v>
      </c>
      <c r="J217">
        <f t="shared" si="41"/>
        <v>2.1734993538879284</v>
      </c>
      <c r="K217">
        <f t="shared" si="42"/>
        <v>0.94226603101549489</v>
      </c>
      <c r="L217">
        <f t="shared" si="43"/>
        <v>1.9402243669920514</v>
      </c>
      <c r="M217" s="4">
        <f t="shared" si="44"/>
        <v>2.048014609602721</v>
      </c>
      <c r="N217">
        <f t="shared" si="45"/>
        <v>2.5600182620034011</v>
      </c>
      <c r="O217" cm="1">
        <f t="array" ref="O217:Q217">_xlfn.XLOOKUP(C217, X$2:X$7, AG$2:AI$7)</f>
        <v>57.8</v>
      </c>
      <c r="P217">
        <v>-6.4299999999999996E-2</v>
      </c>
      <c r="Q217">
        <v>0</v>
      </c>
      <c r="R217">
        <f t="shared" si="46"/>
        <v>0.658247110017954</v>
      </c>
      <c r="S217" s="4">
        <f t="shared" si="47"/>
        <v>1</v>
      </c>
      <c r="T217">
        <f t="shared" si="48"/>
        <v>1.048014609602721</v>
      </c>
      <c r="U217">
        <f t="shared" si="49"/>
        <v>1.5600182620034011</v>
      </c>
      <c r="AB217" s="3"/>
    </row>
    <row r="218" spans="1:28">
      <c r="A218" t="s">
        <v>31</v>
      </c>
      <c r="C218" t="s">
        <v>38</v>
      </c>
      <c r="D218" s="1">
        <v>108.4</v>
      </c>
      <c r="E218" s="1">
        <f t="shared" si="38"/>
        <v>90</v>
      </c>
      <c r="F218">
        <v>97</v>
      </c>
      <c r="G218" s="1">
        <v>30</v>
      </c>
      <c r="H218">
        <f t="shared" si="39"/>
        <v>7</v>
      </c>
      <c r="I218">
        <f t="shared" si="40"/>
        <v>0.41176470588235292</v>
      </c>
      <c r="J218">
        <f t="shared" si="41"/>
        <v>2.5212028661510208</v>
      </c>
      <c r="K218">
        <f t="shared" si="42"/>
        <v>0.79844160049776736</v>
      </c>
      <c r="L218">
        <f t="shared" si="43"/>
        <v>1.9070841331223807</v>
      </c>
      <c r="M218" s="4">
        <f t="shared" si="44"/>
        <v>2.0130332516291793</v>
      </c>
      <c r="N218">
        <f t="shared" si="45"/>
        <v>2.5162915645364743</v>
      </c>
      <c r="O218" cm="1">
        <f t="array" ref="O218:Q218">_xlfn.XLOOKUP(C218, X$2:X$7, AG$2:AI$7)</f>
        <v>6.77</v>
      </c>
      <c r="P218">
        <v>-0.23300000000000001</v>
      </c>
      <c r="Q218">
        <v>0</v>
      </c>
      <c r="R218">
        <f t="shared" si="46"/>
        <v>7.2768110176417745E-3</v>
      </c>
      <c r="S218" s="4">
        <f t="shared" si="47"/>
        <v>1</v>
      </c>
      <c r="T218">
        <f t="shared" si="48"/>
        <v>1.0130332516291793</v>
      </c>
      <c r="U218">
        <f t="shared" si="49"/>
        <v>1.5162915645364743</v>
      </c>
      <c r="AB218" s="3"/>
    </row>
    <row r="219" spans="1:28">
      <c r="A219" t="s">
        <v>232</v>
      </c>
      <c r="B219" t="s">
        <v>46</v>
      </c>
      <c r="C219" t="s">
        <v>407</v>
      </c>
      <c r="D219" s="1">
        <v>116.9</v>
      </c>
      <c r="E219" s="1">
        <f t="shared" si="38"/>
        <v>93.4</v>
      </c>
      <c r="F219">
        <v>98.5</v>
      </c>
      <c r="G219" s="1">
        <v>73</v>
      </c>
      <c r="H219">
        <f t="shared" si="39"/>
        <v>5.0999999999999943</v>
      </c>
      <c r="I219">
        <f t="shared" si="40"/>
        <v>0.29999999999999966</v>
      </c>
      <c r="J219">
        <f t="shared" si="41"/>
        <v>2.1083049453385998</v>
      </c>
      <c r="K219">
        <f t="shared" si="42"/>
        <v>0.94226603101549489</v>
      </c>
      <c r="L219">
        <f t="shared" si="43"/>
        <v>1.882027073382198</v>
      </c>
      <c r="M219" s="4">
        <f t="shared" si="44"/>
        <v>1.9865841330145424</v>
      </c>
      <c r="N219">
        <f t="shared" si="45"/>
        <v>2.4832301662681782</v>
      </c>
      <c r="O219" cm="1">
        <f t="array" ref="O219:Q219">_xlfn.XLOOKUP(C219, X$2:X$7, AG$2:AI$7)</f>
        <v>57.8</v>
      </c>
      <c r="P219">
        <v>-6.4299999999999996E-2</v>
      </c>
      <c r="Q219">
        <v>0</v>
      </c>
      <c r="R219">
        <f t="shared" si="46"/>
        <v>0.61725387618143868</v>
      </c>
      <c r="S219" s="4">
        <f t="shared" si="47"/>
        <v>1</v>
      </c>
      <c r="T219">
        <f t="shared" si="48"/>
        <v>0.9865841330145424</v>
      </c>
      <c r="U219">
        <f t="shared" si="49"/>
        <v>1.4832301662681782</v>
      </c>
      <c r="AB219" s="3"/>
    </row>
    <row r="220" spans="1:28">
      <c r="A220" t="s">
        <v>233</v>
      </c>
      <c r="B220" t="s">
        <v>92</v>
      </c>
      <c r="C220" t="s">
        <v>407</v>
      </c>
      <c r="D220" s="1">
        <v>116.9</v>
      </c>
      <c r="E220" s="1">
        <f t="shared" si="38"/>
        <v>93.4</v>
      </c>
      <c r="F220">
        <v>97</v>
      </c>
      <c r="G220" s="1">
        <v>74</v>
      </c>
      <c r="H220">
        <f t="shared" si="39"/>
        <v>3.5999999999999943</v>
      </c>
      <c r="I220">
        <f t="shared" si="40"/>
        <v>0.21176470588235261</v>
      </c>
      <c r="J220">
        <f t="shared" si="41"/>
        <v>1.7823329025919521</v>
      </c>
      <c r="K220">
        <f t="shared" si="42"/>
        <v>0.94226603101549489</v>
      </c>
      <c r="L220">
        <f t="shared" si="43"/>
        <v>1.5910406053329271</v>
      </c>
      <c r="M220" s="4">
        <f t="shared" si="44"/>
        <v>1.6794317500736453</v>
      </c>
      <c r="N220">
        <f t="shared" si="45"/>
        <v>2.0992896875920568</v>
      </c>
      <c r="O220" cm="1">
        <f t="array" ref="O220:Q220">_xlfn.XLOOKUP(C220, X$2:X$7, AG$2:AI$7)</f>
        <v>57.8</v>
      </c>
      <c r="P220">
        <v>-6.4299999999999996E-2</v>
      </c>
      <c r="Q220">
        <v>0</v>
      </c>
      <c r="R220">
        <f t="shared" si="46"/>
        <v>0.5788135517231795</v>
      </c>
      <c r="S220" s="4">
        <f t="shared" si="47"/>
        <v>1</v>
      </c>
      <c r="T220">
        <f t="shared" si="48"/>
        <v>0.67943175007364531</v>
      </c>
      <c r="U220">
        <f t="shared" si="49"/>
        <v>1.0992896875920568</v>
      </c>
      <c r="AB220" s="3"/>
    </row>
    <row r="221" spans="1:28">
      <c r="A221" t="s">
        <v>608</v>
      </c>
      <c r="B221" t="s">
        <v>64</v>
      </c>
      <c r="C221" t="s">
        <v>729</v>
      </c>
      <c r="D221" s="1">
        <v>99</v>
      </c>
      <c r="E221" s="1">
        <f t="shared" si="38"/>
        <v>82.5</v>
      </c>
      <c r="F221">
        <v>84.7</v>
      </c>
      <c r="G221" s="1">
        <v>22</v>
      </c>
      <c r="H221">
        <f t="shared" si="39"/>
        <v>2.2000000000000028</v>
      </c>
      <c r="I221">
        <f t="shared" si="40"/>
        <v>0.12941176470588253</v>
      </c>
      <c r="J221">
        <f t="shared" si="41"/>
        <v>1.4780923293617501</v>
      </c>
      <c r="K221">
        <f t="shared" si="42"/>
        <v>1.0909252297006058</v>
      </c>
      <c r="L221">
        <f t="shared" si="43"/>
        <v>1.5276204131946354</v>
      </c>
      <c r="M221" s="4">
        <f t="shared" si="44"/>
        <v>1.6124882139276706</v>
      </c>
      <c r="N221">
        <f t="shared" si="45"/>
        <v>2.0156102674095884</v>
      </c>
      <c r="O221" cm="1">
        <f t="array" ref="O221:Q221">_xlfn.XLOOKUP(C221, X$2:X$7, AG$2:AI$7)</f>
        <v>55.4</v>
      </c>
      <c r="P221">
        <v>-0.253</v>
      </c>
      <c r="Q221">
        <v>0</v>
      </c>
      <c r="R221">
        <f t="shared" si="46"/>
        <v>0.24734180997294239</v>
      </c>
      <c r="S221" s="4">
        <f t="shared" si="47"/>
        <v>1</v>
      </c>
      <c r="T221">
        <f t="shared" si="48"/>
        <v>0.61248821392767061</v>
      </c>
      <c r="U221">
        <f t="shared" si="49"/>
        <v>1.0156102674095884</v>
      </c>
      <c r="AB221" s="3"/>
    </row>
    <row r="222" spans="1:28">
      <c r="A222" t="s">
        <v>32</v>
      </c>
      <c r="C222" t="s">
        <v>38</v>
      </c>
      <c r="D222" s="1">
        <v>108.4</v>
      </c>
      <c r="E222" s="1">
        <f t="shared" si="38"/>
        <v>90</v>
      </c>
      <c r="F222">
        <v>93.1</v>
      </c>
      <c r="G222" s="1">
        <v>31</v>
      </c>
      <c r="H222">
        <f t="shared" si="39"/>
        <v>3.0999999999999943</v>
      </c>
      <c r="I222">
        <f t="shared" si="40"/>
        <v>0.18235294117647025</v>
      </c>
      <c r="J222">
        <f t="shared" si="41"/>
        <v>1.6736755550097364</v>
      </c>
      <c r="K222">
        <f t="shared" si="42"/>
        <v>0.79844160049776736</v>
      </c>
      <c r="L222">
        <f t="shared" si="43"/>
        <v>1.2659989157582807</v>
      </c>
      <c r="M222" s="4">
        <f t="shared" si="44"/>
        <v>1.3363321888559629</v>
      </c>
      <c r="N222">
        <f t="shared" si="45"/>
        <v>1.6704152360699536</v>
      </c>
      <c r="O222" cm="1">
        <f t="array" ref="O222:Q222">_xlfn.XLOOKUP(C222, X$2:X$7, AG$2:AI$7)</f>
        <v>6.77</v>
      </c>
      <c r="P222">
        <v>-0.23300000000000001</v>
      </c>
      <c r="Q222">
        <v>0</v>
      </c>
      <c r="R222">
        <f t="shared" si="46"/>
        <v>5.7643518514860284E-3</v>
      </c>
      <c r="S222" s="4">
        <f t="shared" si="47"/>
        <v>1</v>
      </c>
      <c r="T222">
        <f t="shared" si="48"/>
        <v>0.33633218885596294</v>
      </c>
      <c r="U222">
        <f t="shared" si="49"/>
        <v>0.67041523606995357</v>
      </c>
      <c r="AB222" s="3"/>
    </row>
    <row r="223" spans="1:28">
      <c r="A223" t="s">
        <v>234</v>
      </c>
      <c r="B223" t="s">
        <v>72</v>
      </c>
      <c r="C223" t="s">
        <v>407</v>
      </c>
      <c r="D223" s="1">
        <v>116.9</v>
      </c>
      <c r="E223" s="1">
        <f t="shared" si="38"/>
        <v>93.4</v>
      </c>
      <c r="F223">
        <v>94.6</v>
      </c>
      <c r="G223" s="1">
        <v>75</v>
      </c>
      <c r="H223">
        <f t="shared" si="39"/>
        <v>1.1999999999999886</v>
      </c>
      <c r="I223">
        <f t="shared" si="40"/>
        <v>7.058823529411698E-2</v>
      </c>
      <c r="J223">
        <f t="shared" si="41"/>
        <v>1.2607776341973154</v>
      </c>
      <c r="K223">
        <f t="shared" si="42"/>
        <v>0.94226603101549489</v>
      </c>
      <c r="L223">
        <f t="shared" si="43"/>
        <v>1.1254622564540935</v>
      </c>
      <c r="M223" s="4">
        <f t="shared" si="44"/>
        <v>1.1879879373682098</v>
      </c>
      <c r="N223">
        <f t="shared" si="45"/>
        <v>1.4849849217102622</v>
      </c>
      <c r="O223" cm="1">
        <f t="array" ref="O223:Q223">_xlfn.XLOOKUP(C223, X$2:X$7, AG$2:AI$7)</f>
        <v>57.8</v>
      </c>
      <c r="P223">
        <v>-6.4299999999999996E-2</v>
      </c>
      <c r="Q223">
        <v>0</v>
      </c>
      <c r="R223">
        <f t="shared" si="46"/>
        <v>0.54276715074029425</v>
      </c>
      <c r="S223" s="4">
        <f t="shared" si="47"/>
        <v>1</v>
      </c>
      <c r="T223">
        <f t="shared" si="48"/>
        <v>0.18798793736820985</v>
      </c>
      <c r="U223">
        <f t="shared" si="49"/>
        <v>0.4849849217102622</v>
      </c>
      <c r="AB223" s="3"/>
    </row>
    <row r="224" spans="1:28">
      <c r="A224" t="s">
        <v>609</v>
      </c>
      <c r="B224" t="s">
        <v>98</v>
      </c>
      <c r="C224" t="s">
        <v>729</v>
      </c>
      <c r="D224" s="1">
        <v>99</v>
      </c>
      <c r="E224" s="1">
        <f t="shared" si="38"/>
        <v>82.5</v>
      </c>
      <c r="F224">
        <v>82.6</v>
      </c>
      <c r="G224" s="1">
        <v>23</v>
      </c>
      <c r="H224">
        <f t="shared" si="39"/>
        <v>9.9999999999994316E-2</v>
      </c>
      <c r="I224">
        <f t="shared" si="40"/>
        <v>5.8823529411761366E-3</v>
      </c>
      <c r="J224">
        <f t="shared" si="41"/>
        <v>1.0217314695164419</v>
      </c>
      <c r="K224">
        <f t="shared" si="42"/>
        <v>1.0909252297006058</v>
      </c>
      <c r="L224">
        <f t="shared" si="43"/>
        <v>1.055967762386427</v>
      </c>
      <c r="M224" s="4">
        <f t="shared" si="44"/>
        <v>1.1146326380745619</v>
      </c>
      <c r="N224">
        <f t="shared" si="45"/>
        <v>1.3932907975932025</v>
      </c>
      <c r="O224" cm="1">
        <f t="array" ref="O224:Q224">_xlfn.XLOOKUP(C224, X$2:X$7, AG$2:AI$7)</f>
        <v>55.4</v>
      </c>
      <c r="P224">
        <v>-0.253</v>
      </c>
      <c r="Q224">
        <v>0</v>
      </c>
      <c r="R224">
        <f t="shared" si="46"/>
        <v>0.19205297127614002</v>
      </c>
      <c r="S224" s="4">
        <f t="shared" si="47"/>
        <v>1</v>
      </c>
      <c r="T224">
        <f t="shared" si="48"/>
        <v>0.11463263807456192</v>
      </c>
      <c r="U224">
        <f t="shared" si="49"/>
        <v>0.39329079759320251</v>
      </c>
      <c r="AB224" s="3"/>
    </row>
    <row r="225" spans="1:28">
      <c r="A225" t="s">
        <v>610</v>
      </c>
      <c r="B225" t="s">
        <v>100</v>
      </c>
      <c r="C225" t="s">
        <v>729</v>
      </c>
      <c r="D225" s="1">
        <v>99</v>
      </c>
      <c r="E225" s="1">
        <f t="shared" si="38"/>
        <v>82.5</v>
      </c>
      <c r="F225">
        <v>82.5</v>
      </c>
      <c r="G225" s="1">
        <v>24</v>
      </c>
      <c r="H225">
        <f t="shared" si="39"/>
        <v>0</v>
      </c>
      <c r="I225">
        <f t="shared" si="40"/>
        <v>0</v>
      </c>
      <c r="J225">
        <f t="shared" si="41"/>
        <v>1</v>
      </c>
      <c r="K225">
        <f t="shared" si="42"/>
        <v>1.0909252297006058</v>
      </c>
      <c r="L225">
        <f t="shared" si="43"/>
        <v>1.0335081123479424</v>
      </c>
      <c r="M225" s="4">
        <f t="shared" si="44"/>
        <v>1.0909252297006058</v>
      </c>
      <c r="N225">
        <f t="shared" si="45"/>
        <v>1.3636565371257572</v>
      </c>
      <c r="O225" cm="1">
        <f t="array" ref="O225:Q225">_xlfn.XLOOKUP(C225, X$2:X$7, AG$2:AI$7)</f>
        <v>55.4</v>
      </c>
      <c r="P225">
        <v>-0.253</v>
      </c>
      <c r="Q225">
        <v>0</v>
      </c>
      <c r="R225">
        <f t="shared" si="46"/>
        <v>0.14912296380473961</v>
      </c>
      <c r="S225" s="4">
        <f t="shared" si="47"/>
        <v>1</v>
      </c>
      <c r="T225">
        <f t="shared" si="48"/>
        <v>9.0925229700605792E-2</v>
      </c>
      <c r="U225">
        <f t="shared" si="49"/>
        <v>0.36365653712575718</v>
      </c>
      <c r="AB225" s="3"/>
    </row>
    <row r="226" spans="1:28">
      <c r="A226" t="s">
        <v>611</v>
      </c>
      <c r="B226" t="s">
        <v>86</v>
      </c>
      <c r="C226" t="s">
        <v>729</v>
      </c>
      <c r="D226" s="1">
        <v>99</v>
      </c>
      <c r="E226" s="1">
        <f t="shared" si="38"/>
        <v>82.5</v>
      </c>
      <c r="F226">
        <v>82.2</v>
      </c>
      <c r="G226" s="1">
        <v>25</v>
      </c>
      <c r="H226">
        <f t="shared" si="39"/>
        <v>-0.29999999999999716</v>
      </c>
      <c r="I226">
        <f t="shared" si="40"/>
        <v>-1.7647058823529245E-2</v>
      </c>
      <c r="J226">
        <f t="shared" si="41"/>
        <v>0.93480559145067121</v>
      </c>
      <c r="K226">
        <f t="shared" si="42"/>
        <v>1.0909252297006058</v>
      </c>
      <c r="L226">
        <f t="shared" si="43"/>
        <v>0.96612916223248502</v>
      </c>
      <c r="M226" s="4">
        <f t="shared" si="44"/>
        <v>1.0198030045787341</v>
      </c>
      <c r="N226">
        <f t="shared" si="45"/>
        <v>1.2747537557234176</v>
      </c>
      <c r="O226" cm="1">
        <f t="array" ref="O226:Q226">_xlfn.XLOOKUP(C226, X$2:X$7, AG$2:AI$7)</f>
        <v>55.4</v>
      </c>
      <c r="P226">
        <v>-0.253</v>
      </c>
      <c r="Q226">
        <v>0</v>
      </c>
      <c r="R226">
        <f t="shared" si="46"/>
        <v>0.11578919183674405</v>
      </c>
      <c r="S226" s="4">
        <f t="shared" si="47"/>
        <v>1</v>
      </c>
      <c r="T226">
        <f t="shared" si="48"/>
        <v>1.9803004578734074E-2</v>
      </c>
      <c r="U226">
        <f t="shared" si="49"/>
        <v>0.27475375572341765</v>
      </c>
      <c r="AB226" s="3"/>
    </row>
    <row r="227" spans="1:28">
      <c r="A227" t="s">
        <v>235</v>
      </c>
      <c r="B227" t="s">
        <v>74</v>
      </c>
      <c r="C227" t="s">
        <v>407</v>
      </c>
      <c r="D227" s="1">
        <v>116.9</v>
      </c>
      <c r="E227" s="1">
        <f t="shared" si="38"/>
        <v>93.4</v>
      </c>
      <c r="F227">
        <v>93.4</v>
      </c>
      <c r="G227" s="1">
        <v>76</v>
      </c>
      <c r="H227">
        <f t="shared" si="39"/>
        <v>0</v>
      </c>
      <c r="I227">
        <f t="shared" si="40"/>
        <v>0</v>
      </c>
      <c r="J227">
        <f t="shared" si="41"/>
        <v>1</v>
      </c>
      <c r="K227">
        <f t="shared" si="42"/>
        <v>0.94226603101549489</v>
      </c>
      <c r="L227">
        <f t="shared" si="43"/>
        <v>0.89267308201467943</v>
      </c>
      <c r="M227" s="4">
        <f t="shared" si="44"/>
        <v>0.94226603101549489</v>
      </c>
      <c r="N227">
        <f t="shared" si="45"/>
        <v>1.1778325387693687</v>
      </c>
      <c r="O227" cm="1">
        <f t="array" ref="O227:Q227">_xlfn.XLOOKUP(C227, X$2:X$7, AG$2:AI$7)</f>
        <v>57.8</v>
      </c>
      <c r="P227">
        <v>-6.4299999999999996E-2</v>
      </c>
      <c r="Q227">
        <v>0</v>
      </c>
      <c r="R227">
        <f t="shared" si="46"/>
        <v>0.50896558839318495</v>
      </c>
      <c r="S227" s="4">
        <f t="shared" si="47"/>
        <v>1</v>
      </c>
      <c r="T227">
        <f t="shared" si="48"/>
        <v>-5.7733968984505113E-2</v>
      </c>
      <c r="U227">
        <f t="shared" si="49"/>
        <v>0.17783253876936866</v>
      </c>
      <c r="AB227" s="3"/>
    </row>
    <row r="228" spans="1:28">
      <c r="A228" t="s">
        <v>99</v>
      </c>
      <c r="B228" t="s">
        <v>100</v>
      </c>
      <c r="C228" t="s">
        <v>159</v>
      </c>
      <c r="D228" s="1">
        <v>228</v>
      </c>
      <c r="E228" s="1">
        <f t="shared" si="38"/>
        <v>190</v>
      </c>
      <c r="F228">
        <v>192.9</v>
      </c>
      <c r="G228" s="1">
        <v>31</v>
      </c>
      <c r="H228">
        <f t="shared" si="39"/>
        <v>2.9000000000000057</v>
      </c>
      <c r="I228">
        <f t="shared" si="40"/>
        <v>0.17058823529411798</v>
      </c>
      <c r="J228">
        <f t="shared" si="41"/>
        <v>1.6302126159768526</v>
      </c>
      <c r="K228">
        <f t="shared" si="42"/>
        <v>0.57566309754037293</v>
      </c>
      <c r="L228">
        <f t="shared" si="43"/>
        <v>0.88906096815406999</v>
      </c>
      <c r="M228" s="4">
        <f t="shared" si="44"/>
        <v>0.93845324416262943</v>
      </c>
      <c r="N228">
        <f t="shared" si="45"/>
        <v>1.1730665552032868</v>
      </c>
      <c r="O228" cm="1">
        <f t="array" ref="O228:Q228">_xlfn.XLOOKUP(C228, X$2:X$7, AG$2:AI$7)</f>
        <v>56.4</v>
      </c>
      <c r="P228">
        <v>-0.16300000000000001</v>
      </c>
      <c r="Q228">
        <v>0</v>
      </c>
      <c r="R228">
        <f t="shared" si="46"/>
        <v>0.42059096877270225</v>
      </c>
      <c r="S228" s="4">
        <f t="shared" si="47"/>
        <v>1</v>
      </c>
      <c r="T228">
        <f t="shared" si="48"/>
        <v>-6.154675583737057E-2</v>
      </c>
      <c r="U228">
        <f t="shared" si="49"/>
        <v>0.17306655520328684</v>
      </c>
      <c r="AB228" s="3"/>
    </row>
    <row r="229" spans="1:28">
      <c r="A229" t="s">
        <v>738</v>
      </c>
      <c r="B229" t="s">
        <v>44</v>
      </c>
      <c r="C229" t="s">
        <v>764</v>
      </c>
      <c r="D229" s="1">
        <v>124.7</v>
      </c>
      <c r="E229" s="1">
        <f t="shared" si="38"/>
        <v>118.7</v>
      </c>
      <c r="F229">
        <v>120.2</v>
      </c>
      <c r="G229" s="1">
        <v>9</v>
      </c>
      <c r="H229">
        <f t="shared" si="39"/>
        <v>1.5</v>
      </c>
      <c r="I229">
        <f t="shared" si="40"/>
        <v>8.8235294117647065E-2</v>
      </c>
      <c r="J229">
        <f t="shared" si="41"/>
        <v>1.3259720427466473</v>
      </c>
      <c r="K229">
        <f t="shared" si="42"/>
        <v>0.70591649737063444</v>
      </c>
      <c r="L229">
        <f t="shared" si="43"/>
        <v>0.88676103792040895</v>
      </c>
      <c r="M229" s="4">
        <f t="shared" si="44"/>
        <v>0.93602554002709837</v>
      </c>
      <c r="N229">
        <f t="shared" si="45"/>
        <v>1.1700319250338729</v>
      </c>
      <c r="O229" cm="1">
        <f t="array" ref="O229:Q229">_xlfn.XLOOKUP(C229, X$2:X$7, AG$2:AI$7)</f>
        <v>3.22</v>
      </c>
      <c r="P229">
        <v>-0.14799999999999999</v>
      </c>
      <c r="Q229">
        <v>0</v>
      </c>
      <c r="R229">
        <f t="shared" si="46"/>
        <v>0.99185109665816162</v>
      </c>
      <c r="S229" s="4">
        <f t="shared" si="47"/>
        <v>1</v>
      </c>
      <c r="T229">
        <f t="shared" si="48"/>
        <v>-6.3974459972901632E-2</v>
      </c>
      <c r="U229">
        <f t="shared" si="49"/>
        <v>0.17003192503387288</v>
      </c>
      <c r="AB229" s="3"/>
    </row>
    <row r="230" spans="1:28">
      <c r="A230" t="s">
        <v>739</v>
      </c>
      <c r="B230" t="s">
        <v>102</v>
      </c>
      <c r="C230" t="s">
        <v>764</v>
      </c>
      <c r="D230" s="1">
        <v>124.7</v>
      </c>
      <c r="E230" s="1">
        <f t="shared" si="38"/>
        <v>118.7</v>
      </c>
      <c r="F230">
        <v>119.7</v>
      </c>
      <c r="G230" s="1">
        <v>10</v>
      </c>
      <c r="H230">
        <f t="shared" si="39"/>
        <v>1</v>
      </c>
      <c r="I230">
        <f t="shared" si="40"/>
        <v>5.8823529411764705E-2</v>
      </c>
      <c r="J230">
        <f t="shared" si="41"/>
        <v>1.2173146951644316</v>
      </c>
      <c r="K230">
        <f t="shared" si="42"/>
        <v>0.70591649737063444</v>
      </c>
      <c r="L230">
        <f t="shared" si="43"/>
        <v>0.81409502444994686</v>
      </c>
      <c r="M230" s="4">
        <f t="shared" si="44"/>
        <v>0.85932252580827717</v>
      </c>
      <c r="N230">
        <f t="shared" si="45"/>
        <v>1.0741531572603464</v>
      </c>
      <c r="O230" cm="1">
        <f t="array" ref="O230:Q230">_xlfn.XLOOKUP(C230, X$2:X$7, AG$2:AI$7)</f>
        <v>3.22</v>
      </c>
      <c r="P230">
        <v>-0.14799999999999999</v>
      </c>
      <c r="Q230">
        <v>0</v>
      </c>
      <c r="R230">
        <f t="shared" si="46"/>
        <v>0.85540324714738858</v>
      </c>
      <c r="S230" s="4">
        <f t="shared" si="47"/>
        <v>1</v>
      </c>
      <c r="T230">
        <f t="shared" si="48"/>
        <v>-0.14067747419172283</v>
      </c>
      <c r="U230">
        <f t="shared" si="49"/>
        <v>7.4153157260346436E-2</v>
      </c>
      <c r="AB230" s="3"/>
    </row>
    <row r="231" spans="1:28">
      <c r="A231" t="s">
        <v>101</v>
      </c>
      <c r="B231" t="s">
        <v>102</v>
      </c>
      <c r="C231" t="s">
        <v>159</v>
      </c>
      <c r="D231" s="1">
        <v>228</v>
      </c>
      <c r="E231" s="1">
        <f t="shared" si="38"/>
        <v>190</v>
      </c>
      <c r="F231">
        <v>192</v>
      </c>
      <c r="G231" s="1">
        <v>32</v>
      </c>
      <c r="H231">
        <f t="shared" si="39"/>
        <v>2</v>
      </c>
      <c r="I231">
        <f t="shared" si="40"/>
        <v>0.11764705882352941</v>
      </c>
      <c r="J231">
        <f t="shared" si="41"/>
        <v>1.4346293903288632</v>
      </c>
      <c r="K231">
        <f t="shared" si="42"/>
        <v>0.57566309754037293</v>
      </c>
      <c r="L231">
        <f t="shared" si="43"/>
        <v>0.78239671451921378</v>
      </c>
      <c r="M231" s="4">
        <f t="shared" si="44"/>
        <v>0.82586319865917013</v>
      </c>
      <c r="N231">
        <f t="shared" si="45"/>
        <v>1.0323289983239627</v>
      </c>
      <c r="O231" cm="1">
        <f t="array" ref="O231:Q231">_xlfn.XLOOKUP(C231, X$2:X$7, AG$2:AI$7)</f>
        <v>56.4</v>
      </c>
      <c r="P231">
        <v>-0.16300000000000001</v>
      </c>
      <c r="Q231">
        <v>0</v>
      </c>
      <c r="R231">
        <f t="shared" si="46"/>
        <v>0.35733038099604381</v>
      </c>
      <c r="S231" s="4">
        <f t="shared" si="47"/>
        <v>1</v>
      </c>
      <c r="T231">
        <f t="shared" si="48"/>
        <v>-0.17413680134082987</v>
      </c>
      <c r="U231">
        <f t="shared" si="49"/>
        <v>3.2328998323962743E-2</v>
      </c>
      <c r="AB231" s="3"/>
    </row>
    <row r="232" spans="1:28">
      <c r="A232" t="s">
        <v>740</v>
      </c>
      <c r="B232" t="s">
        <v>58</v>
      </c>
      <c r="C232" t="s">
        <v>764</v>
      </c>
      <c r="D232" s="1">
        <v>124.7</v>
      </c>
      <c r="E232" s="1">
        <f t="shared" si="38"/>
        <v>118.7</v>
      </c>
      <c r="F232">
        <v>119.4</v>
      </c>
      <c r="G232" s="1">
        <v>11</v>
      </c>
      <c r="H232">
        <f t="shared" si="39"/>
        <v>0.70000000000000284</v>
      </c>
      <c r="I232">
        <f t="shared" si="40"/>
        <v>4.117647058823546E-2</v>
      </c>
      <c r="J232">
        <f t="shared" si="41"/>
        <v>1.1521202866151028</v>
      </c>
      <c r="K232">
        <f t="shared" si="42"/>
        <v>0.70591649737063444</v>
      </c>
      <c r="L232">
        <f t="shared" si="43"/>
        <v>0.77049541636766983</v>
      </c>
      <c r="M232" s="4">
        <f t="shared" si="44"/>
        <v>0.81330071727698483</v>
      </c>
      <c r="N232">
        <f t="shared" si="45"/>
        <v>1.0166258965962309</v>
      </c>
      <c r="O232" cm="1">
        <f t="array" ref="O232:Q232">_xlfn.XLOOKUP(C232, X$2:X$7, AG$2:AI$7)</f>
        <v>3.22</v>
      </c>
      <c r="P232">
        <v>-0.14799999999999999</v>
      </c>
      <c r="Q232">
        <v>0</v>
      </c>
      <c r="R232">
        <f t="shared" si="46"/>
        <v>0.73772637616236847</v>
      </c>
      <c r="S232" s="4">
        <f t="shared" si="47"/>
        <v>1</v>
      </c>
      <c r="T232">
        <f t="shared" si="48"/>
        <v>-0.18669928272301517</v>
      </c>
      <c r="U232">
        <f t="shared" si="49"/>
        <v>1.6625896596230927E-2</v>
      </c>
      <c r="AB232" s="3"/>
    </row>
    <row r="233" spans="1:28">
      <c r="A233" t="s">
        <v>33</v>
      </c>
      <c r="C233" t="s">
        <v>38</v>
      </c>
      <c r="D233" s="1">
        <v>108.4</v>
      </c>
      <c r="E233" s="1">
        <f t="shared" si="38"/>
        <v>90</v>
      </c>
      <c r="F233">
        <v>89.7</v>
      </c>
      <c r="G233" s="1">
        <v>32</v>
      </c>
      <c r="H233">
        <f t="shared" si="39"/>
        <v>-0.29999999999999716</v>
      </c>
      <c r="I233">
        <f t="shared" si="40"/>
        <v>-1.7647058823529245E-2</v>
      </c>
      <c r="J233">
        <f t="shared" si="41"/>
        <v>0.93480559145067121</v>
      </c>
      <c r="K233">
        <f t="shared" si="42"/>
        <v>0.79844160049776736</v>
      </c>
      <c r="L233">
        <f t="shared" si="43"/>
        <v>0.70710411087676028</v>
      </c>
      <c r="M233" s="4">
        <f t="shared" si="44"/>
        <v>0.7463876725921359</v>
      </c>
      <c r="N233">
        <f t="shared" si="45"/>
        <v>0.93298459074016993</v>
      </c>
      <c r="O233" cm="1">
        <f t="array" ref="O233:Q233">_xlfn.XLOOKUP(C233, X$2:X$7, AG$2:AI$7)</f>
        <v>6.77</v>
      </c>
      <c r="P233">
        <v>-0.23300000000000001</v>
      </c>
      <c r="Q233">
        <v>0</v>
      </c>
      <c r="R233">
        <f t="shared" si="46"/>
        <v>4.5662519182061547E-3</v>
      </c>
      <c r="S233" s="4">
        <f t="shared" si="47"/>
        <v>1</v>
      </c>
      <c r="T233">
        <f t="shared" si="48"/>
        <v>-0.2536123274078641</v>
      </c>
      <c r="U233">
        <f t="shared" si="49"/>
        <v>-6.7015409259830072E-2</v>
      </c>
      <c r="AB233" s="3"/>
    </row>
    <row r="234" spans="1:28">
      <c r="A234" t="s">
        <v>612</v>
      </c>
      <c r="B234" t="s">
        <v>66</v>
      </c>
      <c r="C234" t="s">
        <v>729</v>
      </c>
      <c r="D234" s="1">
        <v>99</v>
      </c>
      <c r="E234" s="1">
        <f t="shared" si="38"/>
        <v>82.5</v>
      </c>
      <c r="F234">
        <v>80.900000000000006</v>
      </c>
      <c r="G234" s="1">
        <v>26</v>
      </c>
      <c r="H234">
        <f t="shared" si="39"/>
        <v>-1.5999999999999943</v>
      </c>
      <c r="I234">
        <f t="shared" si="40"/>
        <v>-9.4117647058823195E-2</v>
      </c>
      <c r="J234">
        <f t="shared" si="41"/>
        <v>0.65229648773691085</v>
      </c>
      <c r="K234">
        <f t="shared" si="42"/>
        <v>1.0909252297006058</v>
      </c>
      <c r="L234">
        <f t="shared" si="43"/>
        <v>0.67415371173216743</v>
      </c>
      <c r="M234" s="4">
        <f t="shared" si="44"/>
        <v>0.71160669571728785</v>
      </c>
      <c r="N234">
        <f t="shared" si="45"/>
        <v>0.88950836964660984</v>
      </c>
      <c r="O234" cm="1">
        <f t="array" ref="O234:Q234">_xlfn.XLOOKUP(C234, X$2:X$7, AG$2:AI$7)</f>
        <v>55.4</v>
      </c>
      <c r="P234">
        <v>-0.253</v>
      </c>
      <c r="Q234">
        <v>0</v>
      </c>
      <c r="R234">
        <f t="shared" si="46"/>
        <v>8.9906588523559081E-2</v>
      </c>
      <c r="S234" s="4">
        <f t="shared" si="47"/>
        <v>1</v>
      </c>
      <c r="T234">
        <f t="shared" si="48"/>
        <v>-0.28839330428271215</v>
      </c>
      <c r="U234">
        <f t="shared" si="49"/>
        <v>-0.11049163035339016</v>
      </c>
      <c r="AB234" s="3"/>
    </row>
    <row r="235" spans="1:28">
      <c r="A235" t="s">
        <v>741</v>
      </c>
      <c r="B235" t="s">
        <v>66</v>
      </c>
      <c r="C235" t="s">
        <v>764</v>
      </c>
      <c r="D235" s="1">
        <v>124.7</v>
      </c>
      <c r="E235" s="1">
        <f t="shared" si="38"/>
        <v>118.7</v>
      </c>
      <c r="F235">
        <v>118.7</v>
      </c>
      <c r="G235" s="1">
        <v>12</v>
      </c>
      <c r="H235">
        <f t="shared" si="39"/>
        <v>0</v>
      </c>
      <c r="I235">
        <f t="shared" si="40"/>
        <v>0</v>
      </c>
      <c r="J235">
        <f t="shared" si="41"/>
        <v>1</v>
      </c>
      <c r="K235">
        <f t="shared" si="42"/>
        <v>0.70591649737063444</v>
      </c>
      <c r="L235">
        <f t="shared" si="43"/>
        <v>0.66876299750902213</v>
      </c>
      <c r="M235" s="4">
        <f t="shared" si="44"/>
        <v>0.70591649737063444</v>
      </c>
      <c r="N235">
        <f t="shared" si="45"/>
        <v>0.88239562171329311</v>
      </c>
      <c r="O235" cm="1">
        <f t="array" ref="O235:Q235">_xlfn.XLOOKUP(C235, X$2:X$7, AG$2:AI$7)</f>
        <v>3.22</v>
      </c>
      <c r="P235">
        <v>-0.14799999999999999</v>
      </c>
      <c r="Q235">
        <v>0</v>
      </c>
      <c r="R235">
        <f t="shared" si="46"/>
        <v>0.63623818111586639</v>
      </c>
      <c r="S235" s="4">
        <f t="shared" si="47"/>
        <v>1</v>
      </c>
      <c r="T235">
        <f t="shared" si="48"/>
        <v>-0.29408350262936556</v>
      </c>
      <c r="U235">
        <f t="shared" si="49"/>
        <v>-0.11760437828670689</v>
      </c>
      <c r="AB235" s="3"/>
    </row>
    <row r="236" spans="1:28">
      <c r="A236" t="s">
        <v>464</v>
      </c>
      <c r="B236" t="s">
        <v>82</v>
      </c>
      <c r="C236" t="s">
        <v>586</v>
      </c>
      <c r="D236" s="1">
        <v>107.9</v>
      </c>
      <c r="E236" s="1">
        <f t="shared" si="38"/>
        <v>73</v>
      </c>
      <c r="F236">
        <v>71.599999999999994</v>
      </c>
      <c r="G236" s="1">
        <v>57</v>
      </c>
      <c r="H236">
        <f t="shared" si="39"/>
        <v>-1.4000000000000057</v>
      </c>
      <c r="I236">
        <f t="shared" si="40"/>
        <v>-8.235294117647092E-2</v>
      </c>
      <c r="J236">
        <f t="shared" si="41"/>
        <v>0.69575942676979463</v>
      </c>
      <c r="K236">
        <f t="shared" si="42"/>
        <v>1.0011070456397422</v>
      </c>
      <c r="L236">
        <f t="shared" si="43"/>
        <v>0.65987020819848285</v>
      </c>
      <c r="M236" s="4">
        <f t="shared" si="44"/>
        <v>0.69652966420950968</v>
      </c>
      <c r="N236">
        <f t="shared" si="45"/>
        <v>0.87066208026188707</v>
      </c>
      <c r="O236" cm="1">
        <f t="array" ref="O236:Q236">_xlfn.XLOOKUP(C236, X$2:X$7, AG$2:AI$7)</f>
        <v>5.0900000000000001E-2</v>
      </c>
      <c r="P236">
        <v>-3.9</v>
      </c>
      <c r="Q236">
        <v>73.900000000000006</v>
      </c>
      <c r="R236">
        <f t="shared" si="46"/>
        <v>19.808774700000026</v>
      </c>
      <c r="S236" s="4">
        <f t="shared" si="47"/>
        <v>1</v>
      </c>
      <c r="T236">
        <f t="shared" si="48"/>
        <v>-0.30347033579049032</v>
      </c>
      <c r="U236">
        <f t="shared" si="49"/>
        <v>-0.12933791973811293</v>
      </c>
      <c r="AB236" s="3"/>
    </row>
    <row r="237" spans="1:28">
      <c r="A237" t="s">
        <v>742</v>
      </c>
      <c r="B237" t="s">
        <v>84</v>
      </c>
      <c r="C237" t="s">
        <v>764</v>
      </c>
      <c r="D237" s="1">
        <v>124.7</v>
      </c>
      <c r="E237" s="1">
        <f t="shared" si="38"/>
        <v>118.7</v>
      </c>
      <c r="F237">
        <v>118.6</v>
      </c>
      <c r="G237" s="1">
        <v>13</v>
      </c>
      <c r="H237">
        <f t="shared" si="39"/>
        <v>-0.10000000000000853</v>
      </c>
      <c r="I237">
        <f t="shared" si="40"/>
        <v>-5.8823529411769718E-3</v>
      </c>
      <c r="J237">
        <f t="shared" si="41"/>
        <v>0.978268530483555</v>
      </c>
      <c r="K237">
        <f t="shared" si="42"/>
        <v>0.70591649737063444</v>
      </c>
      <c r="L237">
        <f t="shared" si="43"/>
        <v>0.65422979481492838</v>
      </c>
      <c r="M237" s="4">
        <f t="shared" si="44"/>
        <v>0.69057589452686885</v>
      </c>
      <c r="N237">
        <f t="shared" si="45"/>
        <v>0.86321986815858609</v>
      </c>
      <c r="O237" cm="1">
        <f t="array" ref="O237:Q237">_xlfn.XLOOKUP(C237, X$2:X$7, AG$2:AI$7)</f>
        <v>3.22</v>
      </c>
      <c r="P237">
        <v>-0.14799999999999999</v>
      </c>
      <c r="Q237">
        <v>0</v>
      </c>
      <c r="R237">
        <f t="shared" si="46"/>
        <v>0.54871160390845553</v>
      </c>
      <c r="S237" s="4">
        <f t="shared" si="47"/>
        <v>1</v>
      </c>
      <c r="T237">
        <f t="shared" si="48"/>
        <v>-0.30942410547313115</v>
      </c>
      <c r="U237">
        <f t="shared" si="49"/>
        <v>-0.13678013184141391</v>
      </c>
      <c r="AB237" s="3"/>
    </row>
    <row r="238" spans="1:28">
      <c r="A238" t="s">
        <v>236</v>
      </c>
      <c r="B238" t="s">
        <v>100</v>
      </c>
      <c r="C238" t="s">
        <v>407</v>
      </c>
      <c r="D238" s="1">
        <v>116.9</v>
      </c>
      <c r="E238" s="1">
        <f t="shared" si="38"/>
        <v>93.4</v>
      </c>
      <c r="F238">
        <v>91.9</v>
      </c>
      <c r="G238" s="1">
        <v>77</v>
      </c>
      <c r="H238">
        <f t="shared" si="39"/>
        <v>-1.5</v>
      </c>
      <c r="I238">
        <f t="shared" si="40"/>
        <v>-8.8235294117647065E-2</v>
      </c>
      <c r="J238">
        <f t="shared" si="41"/>
        <v>0.67402795725335274</v>
      </c>
      <c r="K238">
        <f t="shared" si="42"/>
        <v>0.94226603101549489</v>
      </c>
      <c r="L238">
        <f t="shared" si="43"/>
        <v>0.60168661396540901</v>
      </c>
      <c r="M238" s="4">
        <f t="shared" si="44"/>
        <v>0.63511364807459836</v>
      </c>
      <c r="N238">
        <f t="shared" si="45"/>
        <v>0.79389206009324798</v>
      </c>
      <c r="O238" cm="1">
        <f t="array" ref="O238:Q238">_xlfn.XLOOKUP(C238, X$2:X$7, AG$2:AI$7)</f>
        <v>57.8</v>
      </c>
      <c r="P238">
        <v>-6.4299999999999996E-2</v>
      </c>
      <c r="Q238">
        <v>0</v>
      </c>
      <c r="R238">
        <f t="shared" si="46"/>
        <v>0.47726906430336047</v>
      </c>
      <c r="S238" s="4">
        <f t="shared" si="47"/>
        <v>1</v>
      </c>
      <c r="T238">
        <f t="shared" si="48"/>
        <v>-0.36488635192540164</v>
      </c>
      <c r="U238">
        <f t="shared" si="49"/>
        <v>-0.20610793990675202</v>
      </c>
      <c r="AB238" s="3"/>
    </row>
    <row r="239" spans="1:28">
      <c r="A239" t="s">
        <v>743</v>
      </c>
      <c r="B239" t="s">
        <v>62</v>
      </c>
      <c r="C239" t="s">
        <v>764</v>
      </c>
      <c r="D239" s="1">
        <v>124.7</v>
      </c>
      <c r="E239" s="1">
        <f t="shared" si="38"/>
        <v>118.7</v>
      </c>
      <c r="F239">
        <v>118.2</v>
      </c>
      <c r="G239" s="1">
        <v>14</v>
      </c>
      <c r="H239">
        <f t="shared" si="39"/>
        <v>-0.5</v>
      </c>
      <c r="I239">
        <f t="shared" si="40"/>
        <v>-2.9411764705882353E-2</v>
      </c>
      <c r="J239">
        <f t="shared" si="41"/>
        <v>0.89134265241778421</v>
      </c>
      <c r="K239">
        <f t="shared" si="42"/>
        <v>0.70591649737063444</v>
      </c>
      <c r="L239">
        <f t="shared" si="43"/>
        <v>0.59609698403855982</v>
      </c>
      <c r="M239" s="4">
        <f t="shared" si="44"/>
        <v>0.62921348315181314</v>
      </c>
      <c r="N239">
        <f t="shared" si="45"/>
        <v>0.78651685393976645</v>
      </c>
      <c r="O239" cm="1">
        <f t="array" ref="O239:Q239">_xlfn.XLOOKUP(C239, X$2:X$7, AG$2:AI$7)</f>
        <v>3.22</v>
      </c>
      <c r="P239">
        <v>-0.14799999999999999</v>
      </c>
      <c r="Q239">
        <v>0</v>
      </c>
      <c r="R239">
        <f t="shared" si="46"/>
        <v>0.47322596034040726</v>
      </c>
      <c r="S239" s="4">
        <f t="shared" si="47"/>
        <v>1</v>
      </c>
      <c r="T239">
        <f t="shared" si="48"/>
        <v>-0.37078651684818686</v>
      </c>
      <c r="U239">
        <f t="shared" si="49"/>
        <v>-0.21348314606023355</v>
      </c>
      <c r="AB239" s="3"/>
    </row>
    <row r="240" spans="1:28">
      <c r="A240" t="s">
        <v>613</v>
      </c>
      <c r="B240" t="s">
        <v>42</v>
      </c>
      <c r="C240" t="s">
        <v>729</v>
      </c>
      <c r="D240" s="1">
        <v>99</v>
      </c>
      <c r="E240" s="1">
        <f t="shared" si="38"/>
        <v>82.5</v>
      </c>
      <c r="F240">
        <v>80.3</v>
      </c>
      <c r="G240" s="1">
        <v>27</v>
      </c>
      <c r="H240">
        <f t="shared" si="39"/>
        <v>-2.2000000000000028</v>
      </c>
      <c r="I240">
        <f t="shared" si="40"/>
        <v>-0.12941176470588253</v>
      </c>
      <c r="J240">
        <f t="shared" si="41"/>
        <v>0.52190767063824994</v>
      </c>
      <c r="K240">
        <f t="shared" si="42"/>
        <v>1.0909252297006058</v>
      </c>
      <c r="L240">
        <f t="shared" si="43"/>
        <v>0.53939581150124938</v>
      </c>
      <c r="M240" s="4">
        <f t="shared" si="44"/>
        <v>0.56936224547354097</v>
      </c>
      <c r="N240">
        <f t="shared" si="45"/>
        <v>0.71170280684192622</v>
      </c>
      <c r="O240" cm="1">
        <f t="array" ref="O240:Q240">_xlfn.XLOOKUP(C240, X$2:X$7, AG$2:AI$7)</f>
        <v>55.4</v>
      </c>
      <c r="P240">
        <v>-0.253</v>
      </c>
      <c r="Q240">
        <v>0</v>
      </c>
      <c r="R240">
        <f t="shared" si="46"/>
        <v>6.9809578352886287E-2</v>
      </c>
      <c r="S240" s="4">
        <f t="shared" si="47"/>
        <v>1</v>
      </c>
      <c r="T240">
        <f t="shared" si="48"/>
        <v>-0.43063775452645903</v>
      </c>
      <c r="U240">
        <f t="shared" si="49"/>
        <v>-0.28829719315807378</v>
      </c>
      <c r="AB240" s="3"/>
    </row>
    <row r="241" spans="1:28">
      <c r="A241" t="s">
        <v>465</v>
      </c>
      <c r="B241" t="s">
        <v>90</v>
      </c>
      <c r="C241" t="s">
        <v>586</v>
      </c>
      <c r="D241" s="1">
        <v>107.9</v>
      </c>
      <c r="E241" s="1">
        <f t="shared" si="38"/>
        <v>73</v>
      </c>
      <c r="F241">
        <v>70.900000000000006</v>
      </c>
      <c r="G241" s="1">
        <v>58</v>
      </c>
      <c r="H241">
        <f t="shared" si="39"/>
        <v>-2.0999999999999943</v>
      </c>
      <c r="I241">
        <f t="shared" si="40"/>
        <v>-0.12352941176470555</v>
      </c>
      <c r="J241">
        <f t="shared" si="41"/>
        <v>0.54363914015469494</v>
      </c>
      <c r="K241">
        <f t="shared" si="42"/>
        <v>1.0011070456397422</v>
      </c>
      <c r="L241">
        <f t="shared" si="43"/>
        <v>0.51559671173153343</v>
      </c>
      <c r="M241" s="4">
        <f t="shared" si="44"/>
        <v>0.54424097349439637</v>
      </c>
      <c r="N241">
        <f t="shared" si="45"/>
        <v>0.6803012168679955</v>
      </c>
      <c r="O241" cm="1">
        <f t="array" ref="O241:Q241">_xlfn.XLOOKUP(C241, X$2:X$7, AG$2:AI$7)</f>
        <v>5.0900000000000001E-2</v>
      </c>
      <c r="P241">
        <v>-3.9</v>
      </c>
      <c r="Q241">
        <v>73.900000000000006</v>
      </c>
      <c r="R241">
        <f t="shared" si="46"/>
        <v>22.088509200000015</v>
      </c>
      <c r="S241" s="4">
        <f t="shared" si="47"/>
        <v>1</v>
      </c>
      <c r="T241">
        <f t="shared" si="48"/>
        <v>-0.45575902650560363</v>
      </c>
      <c r="U241">
        <f t="shared" si="49"/>
        <v>-0.3196987831320045</v>
      </c>
      <c r="AB241" s="3"/>
    </row>
    <row r="242" spans="1:28">
      <c r="A242" t="s">
        <v>237</v>
      </c>
      <c r="B242" t="s">
        <v>76</v>
      </c>
      <c r="C242" t="s">
        <v>407</v>
      </c>
      <c r="D242" s="1">
        <v>116.9</v>
      </c>
      <c r="E242" s="1">
        <f t="shared" si="38"/>
        <v>93.4</v>
      </c>
      <c r="F242">
        <v>90.4</v>
      </c>
      <c r="G242" s="1">
        <v>78</v>
      </c>
      <c r="H242">
        <f t="shared" si="39"/>
        <v>-3</v>
      </c>
      <c r="I242">
        <f t="shared" si="40"/>
        <v>-0.17647058823529413</v>
      </c>
      <c r="J242">
        <f t="shared" si="41"/>
        <v>0.34805591450670537</v>
      </c>
      <c r="K242">
        <f t="shared" si="42"/>
        <v>0.94226603101549489</v>
      </c>
      <c r="L242">
        <f t="shared" si="43"/>
        <v>0.31070014591613843</v>
      </c>
      <c r="M242" s="4">
        <f t="shared" si="44"/>
        <v>0.32796126513370166</v>
      </c>
      <c r="N242">
        <f t="shared" si="45"/>
        <v>0.40995158141712706</v>
      </c>
      <c r="O242" cm="1">
        <f t="array" ref="O242:Q242">_xlfn.XLOOKUP(C242, X$2:X$7, AG$2:AI$7)</f>
        <v>57.8</v>
      </c>
      <c r="P242">
        <v>-6.4299999999999996E-2</v>
      </c>
      <c r="Q242">
        <v>0</v>
      </c>
      <c r="R242">
        <f t="shared" si="46"/>
        <v>0.44754648435099398</v>
      </c>
      <c r="S242" s="4">
        <f t="shared" si="47"/>
        <v>1</v>
      </c>
      <c r="T242">
        <f t="shared" si="48"/>
        <v>-0.67203873486629839</v>
      </c>
      <c r="U242">
        <f t="shared" si="49"/>
        <v>-0.59004841858287294</v>
      </c>
      <c r="AB242" s="3"/>
    </row>
    <row r="243" spans="1:28">
      <c r="A243" t="s">
        <v>466</v>
      </c>
      <c r="B243" t="s">
        <v>52</v>
      </c>
      <c r="C243" t="s">
        <v>586</v>
      </c>
      <c r="D243" s="1">
        <v>107.9</v>
      </c>
      <c r="E243" s="1">
        <f t="shared" si="38"/>
        <v>73</v>
      </c>
      <c r="F243">
        <v>69.900000000000006</v>
      </c>
      <c r="G243" s="1">
        <v>59</v>
      </c>
      <c r="H243">
        <f t="shared" si="39"/>
        <v>-3.0999999999999943</v>
      </c>
      <c r="I243">
        <f t="shared" si="40"/>
        <v>-0.18235294117647025</v>
      </c>
      <c r="J243">
        <f t="shared" si="41"/>
        <v>0.32632444499026358</v>
      </c>
      <c r="K243">
        <f t="shared" si="42"/>
        <v>1.0011070456397422</v>
      </c>
      <c r="L243">
        <f t="shared" si="43"/>
        <v>0.30949171677874548</v>
      </c>
      <c r="M243" s="4">
        <f t="shared" si="44"/>
        <v>0.32668570104423134</v>
      </c>
      <c r="N243">
        <f t="shared" si="45"/>
        <v>0.4083571263052892</v>
      </c>
      <c r="O243" cm="1">
        <f t="array" ref="O243:Q243">_xlfn.XLOOKUP(C243, X$2:X$7, AG$2:AI$7)</f>
        <v>5.0900000000000001E-2</v>
      </c>
      <c r="P243">
        <v>-3.9</v>
      </c>
      <c r="Q243">
        <v>73.900000000000006</v>
      </c>
      <c r="R243">
        <f t="shared" si="46"/>
        <v>24.487044300000001</v>
      </c>
      <c r="S243" s="4">
        <f t="shared" si="47"/>
        <v>1</v>
      </c>
      <c r="T243">
        <f t="shared" si="48"/>
        <v>-0.67331429895576866</v>
      </c>
      <c r="U243">
        <f t="shared" si="49"/>
        <v>-0.5916428736947108</v>
      </c>
      <c r="AB243" s="3"/>
    </row>
    <row r="244" spans="1:28">
      <c r="A244" t="s">
        <v>744</v>
      </c>
      <c r="B244" t="s">
        <v>50</v>
      </c>
      <c r="C244" t="s">
        <v>764</v>
      </c>
      <c r="D244" s="1">
        <v>124.7</v>
      </c>
      <c r="E244" s="1">
        <f t="shared" si="38"/>
        <v>118.7</v>
      </c>
      <c r="F244">
        <v>116.1</v>
      </c>
      <c r="G244" s="1">
        <v>15</v>
      </c>
      <c r="H244">
        <f t="shared" si="39"/>
        <v>-2.6000000000000085</v>
      </c>
      <c r="I244">
        <f t="shared" si="40"/>
        <v>-0.15294117647058875</v>
      </c>
      <c r="J244">
        <f t="shared" si="41"/>
        <v>0.43498179257247616</v>
      </c>
      <c r="K244">
        <f t="shared" si="42"/>
        <v>0.70591649737063444</v>
      </c>
      <c r="L244">
        <f t="shared" si="43"/>
        <v>0.29089972746261683</v>
      </c>
      <c r="M244" s="4">
        <f t="shared" si="44"/>
        <v>0.3070608234327622</v>
      </c>
      <c r="N244">
        <f t="shared" si="45"/>
        <v>0.38382602929095277</v>
      </c>
      <c r="O244" cm="1">
        <f t="array" ref="O244:Q244">_xlfn.XLOOKUP(C244, X$2:X$7, AG$2:AI$7)</f>
        <v>3.22</v>
      </c>
      <c r="P244">
        <v>-0.14799999999999999</v>
      </c>
      <c r="Q244">
        <v>0</v>
      </c>
      <c r="R244">
        <f t="shared" si="46"/>
        <v>0.40812479259589779</v>
      </c>
      <c r="S244" s="4">
        <f t="shared" si="47"/>
        <v>1</v>
      </c>
      <c r="T244">
        <f t="shared" si="48"/>
        <v>-0.6929391765672378</v>
      </c>
      <c r="U244">
        <f t="shared" si="49"/>
        <v>-0.61617397070904723</v>
      </c>
      <c r="AB244" s="3"/>
    </row>
    <row r="245" spans="1:28">
      <c r="A245" t="s">
        <v>745</v>
      </c>
      <c r="B245" t="s">
        <v>52</v>
      </c>
      <c r="C245" t="s">
        <v>764</v>
      </c>
      <c r="D245" s="1">
        <v>124.7</v>
      </c>
      <c r="E245" s="1">
        <f t="shared" si="38"/>
        <v>118.7</v>
      </c>
      <c r="F245">
        <v>116.1</v>
      </c>
      <c r="G245" s="1">
        <v>16</v>
      </c>
      <c r="H245">
        <f t="shared" si="39"/>
        <v>-2.6000000000000085</v>
      </c>
      <c r="I245">
        <f t="shared" si="40"/>
        <v>-0.15294117647058875</v>
      </c>
      <c r="J245">
        <f t="shared" si="41"/>
        <v>0.43498179257247616</v>
      </c>
      <c r="K245">
        <f t="shared" si="42"/>
        <v>0.70591649737063444</v>
      </c>
      <c r="L245">
        <f t="shared" si="43"/>
        <v>0.29089972746261683</v>
      </c>
      <c r="M245" s="4">
        <f t="shared" si="44"/>
        <v>0.3070608234327622</v>
      </c>
      <c r="N245">
        <f t="shared" si="45"/>
        <v>0.38382602929095277</v>
      </c>
      <c r="O245" cm="1">
        <f t="array" ref="O245:Q245">_xlfn.XLOOKUP(C245, X$2:X$7, AG$2:AI$7)</f>
        <v>3.22</v>
      </c>
      <c r="P245">
        <v>-0.14799999999999999</v>
      </c>
      <c r="Q245">
        <v>0</v>
      </c>
      <c r="R245">
        <f t="shared" si="46"/>
        <v>0.35197951991397108</v>
      </c>
      <c r="S245" s="4">
        <f t="shared" si="47"/>
        <v>1</v>
      </c>
      <c r="T245">
        <f t="shared" si="48"/>
        <v>-0.6929391765672378</v>
      </c>
      <c r="U245">
        <f t="shared" si="49"/>
        <v>-0.61617397070904723</v>
      </c>
      <c r="AB245" s="3"/>
    </row>
    <row r="246" spans="1:28">
      <c r="A246" t="s">
        <v>746</v>
      </c>
      <c r="B246" t="s">
        <v>68</v>
      </c>
      <c r="C246" t="s">
        <v>764</v>
      </c>
      <c r="D246" s="1">
        <v>124.7</v>
      </c>
      <c r="E246" s="1">
        <f t="shared" si="38"/>
        <v>118.7</v>
      </c>
      <c r="F246">
        <v>116</v>
      </c>
      <c r="G246" s="1">
        <v>17</v>
      </c>
      <c r="H246">
        <f t="shared" si="39"/>
        <v>-2.7000000000000028</v>
      </c>
      <c r="I246">
        <f t="shared" si="40"/>
        <v>-0.15882352941176486</v>
      </c>
      <c r="J246">
        <f t="shared" si="41"/>
        <v>0.41325032305603426</v>
      </c>
      <c r="K246">
        <f t="shared" si="42"/>
        <v>0.70591649737063444</v>
      </c>
      <c r="L246">
        <f t="shared" si="43"/>
        <v>0.27636652476852519</v>
      </c>
      <c r="M246" s="4">
        <f t="shared" si="44"/>
        <v>0.29172022058899882</v>
      </c>
      <c r="N246">
        <f t="shared" si="45"/>
        <v>0.36465027573624853</v>
      </c>
      <c r="O246" cm="1">
        <f t="array" ref="O246:Q246">_xlfn.XLOOKUP(C246, X$2:X$7, AG$2:AI$7)</f>
        <v>3.22</v>
      </c>
      <c r="P246">
        <v>-0.14799999999999999</v>
      </c>
      <c r="Q246">
        <v>0</v>
      </c>
      <c r="R246">
        <f t="shared" si="46"/>
        <v>0.30355808979617194</v>
      </c>
      <c r="S246" s="4">
        <f t="shared" si="47"/>
        <v>1</v>
      </c>
      <c r="T246">
        <f t="shared" si="48"/>
        <v>-0.70827977941100118</v>
      </c>
      <c r="U246">
        <f t="shared" si="49"/>
        <v>-0.63534972426375147</v>
      </c>
      <c r="AB246" s="3"/>
    </row>
    <row r="247" spans="1:28">
      <c r="A247" t="s">
        <v>747</v>
      </c>
      <c r="B247" t="s">
        <v>72</v>
      </c>
      <c r="C247" t="s">
        <v>764</v>
      </c>
      <c r="D247" s="1">
        <v>124.7</v>
      </c>
      <c r="E247" s="1">
        <f t="shared" si="38"/>
        <v>118.7</v>
      </c>
      <c r="F247">
        <v>115.9</v>
      </c>
      <c r="G247" s="1">
        <v>18</v>
      </c>
      <c r="H247">
        <f t="shared" si="39"/>
        <v>-2.7999999999999972</v>
      </c>
      <c r="I247">
        <f t="shared" si="40"/>
        <v>-0.16470588235294101</v>
      </c>
      <c r="J247">
        <f t="shared" si="41"/>
        <v>0.39151885353959237</v>
      </c>
      <c r="K247">
        <f t="shared" si="42"/>
        <v>0.70591649737063444</v>
      </c>
      <c r="L247">
        <f t="shared" si="43"/>
        <v>0.26183332207443361</v>
      </c>
      <c r="M247" s="4">
        <f t="shared" si="44"/>
        <v>0.27637961774523545</v>
      </c>
      <c r="N247">
        <f t="shared" si="45"/>
        <v>0.34547452218154429</v>
      </c>
      <c r="O247" cm="1">
        <f t="array" ref="O247:Q247">_xlfn.XLOOKUP(C247, X$2:X$7, AG$2:AI$7)</f>
        <v>3.22</v>
      </c>
      <c r="P247">
        <v>-0.14799999999999999</v>
      </c>
      <c r="Q247">
        <v>0</v>
      </c>
      <c r="R247">
        <f t="shared" si="46"/>
        <v>0.2617979418325902</v>
      </c>
      <c r="S247" s="4">
        <f t="shared" si="47"/>
        <v>1</v>
      </c>
      <c r="T247">
        <f t="shared" si="48"/>
        <v>-0.72362038225476455</v>
      </c>
      <c r="U247">
        <f t="shared" si="49"/>
        <v>-0.65452547781845571</v>
      </c>
      <c r="AB247" s="3"/>
    </row>
    <row r="248" spans="1:28">
      <c r="A248" t="s">
        <v>748</v>
      </c>
      <c r="B248" t="s">
        <v>94</v>
      </c>
      <c r="C248" t="s">
        <v>764</v>
      </c>
      <c r="D248" s="1">
        <v>124.7</v>
      </c>
      <c r="E248" s="1">
        <f t="shared" si="38"/>
        <v>118.7</v>
      </c>
      <c r="F248">
        <v>115</v>
      </c>
      <c r="G248" s="1">
        <v>19</v>
      </c>
      <c r="H248">
        <f t="shared" si="39"/>
        <v>-3.7000000000000028</v>
      </c>
      <c r="I248">
        <f t="shared" si="40"/>
        <v>-0.21764705882352958</v>
      </c>
      <c r="J248">
        <f t="shared" si="41"/>
        <v>0.19593562789160279</v>
      </c>
      <c r="K248">
        <f t="shared" si="42"/>
        <v>0.70591649737063444</v>
      </c>
      <c r="L248">
        <f t="shared" si="43"/>
        <v>0.13103449782760065</v>
      </c>
      <c r="M248" s="4">
        <f t="shared" si="44"/>
        <v>0.13831419215135624</v>
      </c>
      <c r="N248">
        <f t="shared" si="45"/>
        <v>0.17289274018919529</v>
      </c>
      <c r="O248" cm="1">
        <f t="array" ref="O248:Q248">_xlfn.XLOOKUP(C248, X$2:X$7, AG$2:AI$7)</f>
        <v>3.22</v>
      </c>
      <c r="P248">
        <v>-0.14799999999999999</v>
      </c>
      <c r="Q248">
        <v>0</v>
      </c>
      <c r="R248">
        <f t="shared" si="46"/>
        <v>0.22578269086421349</v>
      </c>
      <c r="S248" s="4">
        <f t="shared" si="47"/>
        <v>1</v>
      </c>
      <c r="T248">
        <f t="shared" si="48"/>
        <v>-0.86168580784864379</v>
      </c>
      <c r="U248">
        <f t="shared" si="49"/>
        <v>-0.82710725981080468</v>
      </c>
      <c r="AB248" s="3"/>
    </row>
    <row r="249" spans="1:28">
      <c r="A249" t="s">
        <v>749</v>
      </c>
      <c r="B249" t="s">
        <v>74</v>
      </c>
      <c r="C249" t="s">
        <v>764</v>
      </c>
      <c r="D249" s="1">
        <v>124.7</v>
      </c>
      <c r="E249" s="1">
        <f t="shared" si="38"/>
        <v>118.7</v>
      </c>
      <c r="F249">
        <v>114.9</v>
      </c>
      <c r="G249" s="1">
        <v>20</v>
      </c>
      <c r="H249">
        <f t="shared" si="39"/>
        <v>-3.7999999999999972</v>
      </c>
      <c r="I249">
        <f t="shared" si="40"/>
        <v>-0.22352941176470573</v>
      </c>
      <c r="J249">
        <f t="shared" si="41"/>
        <v>0.17420415837516079</v>
      </c>
      <c r="K249">
        <f t="shared" si="42"/>
        <v>0.70591649737063444</v>
      </c>
      <c r="L249">
        <f t="shared" si="43"/>
        <v>0.11650129513350894</v>
      </c>
      <c r="M249" s="4">
        <f t="shared" si="44"/>
        <v>0.12297358930759278</v>
      </c>
      <c r="N249">
        <f t="shared" si="45"/>
        <v>0.15371698663449096</v>
      </c>
      <c r="O249" cm="1">
        <f t="array" ref="O249:Q249">_xlfn.XLOOKUP(C249, X$2:X$7, AG$2:AI$7)</f>
        <v>3.22</v>
      </c>
      <c r="P249">
        <v>-0.14799999999999999</v>
      </c>
      <c r="Q249">
        <v>0</v>
      </c>
      <c r="R249">
        <f t="shared" si="46"/>
        <v>0.19472201781663881</v>
      </c>
      <c r="S249" s="4">
        <f t="shared" si="47"/>
        <v>1</v>
      </c>
      <c r="T249">
        <f t="shared" si="48"/>
        <v>-0.87702641069240728</v>
      </c>
      <c r="U249">
        <f t="shared" si="49"/>
        <v>-0.84628301336550904</v>
      </c>
      <c r="AB249" s="3"/>
    </row>
    <row r="250" spans="1:28">
      <c r="A250" t="s">
        <v>750</v>
      </c>
      <c r="B250" t="s">
        <v>76</v>
      </c>
      <c r="C250" t="s">
        <v>764</v>
      </c>
      <c r="D250" s="1">
        <v>124.7</v>
      </c>
      <c r="E250" s="1">
        <f t="shared" si="38"/>
        <v>118.7</v>
      </c>
      <c r="F250">
        <v>114.7</v>
      </c>
      <c r="G250" s="1">
        <v>21</v>
      </c>
      <c r="H250">
        <f t="shared" si="39"/>
        <v>-4</v>
      </c>
      <c r="I250">
        <f t="shared" si="40"/>
        <v>-0.23529411764705882</v>
      </c>
      <c r="J250">
        <f t="shared" si="41"/>
        <v>0.1307412193422739</v>
      </c>
      <c r="K250">
        <f t="shared" si="42"/>
        <v>0.70591649737063444</v>
      </c>
      <c r="L250">
        <f t="shared" si="43"/>
        <v>8.7434889745323624E-2</v>
      </c>
      <c r="M250" s="4">
        <f t="shared" si="44"/>
        <v>9.2292383620063825E-2</v>
      </c>
      <c r="N250">
        <f t="shared" si="45"/>
        <v>0.11536547952507978</v>
      </c>
      <c r="O250" cm="1">
        <f t="array" ref="O250:Q250">_xlfn.XLOOKUP(C250, X$2:X$7, AG$2:AI$7)</f>
        <v>3.22</v>
      </c>
      <c r="P250">
        <v>-0.14799999999999999</v>
      </c>
      <c r="Q250">
        <v>0</v>
      </c>
      <c r="R250">
        <f t="shared" si="46"/>
        <v>0.16793432692936869</v>
      </c>
      <c r="S250" s="4">
        <f t="shared" si="47"/>
        <v>1</v>
      </c>
      <c r="T250">
        <f t="shared" si="48"/>
        <v>-0.90770761637993613</v>
      </c>
      <c r="U250">
        <f t="shared" si="49"/>
        <v>-0.88463452047492019</v>
      </c>
      <c r="AB250" s="3"/>
    </row>
    <row r="251" spans="1:28">
      <c r="A251" t="s">
        <v>751</v>
      </c>
      <c r="B251" t="s">
        <v>54</v>
      </c>
      <c r="C251" t="s">
        <v>764</v>
      </c>
      <c r="D251" s="1">
        <v>124.7</v>
      </c>
      <c r="E251" s="1">
        <f t="shared" si="38"/>
        <v>118.7</v>
      </c>
      <c r="F251">
        <v>114.4</v>
      </c>
      <c r="G251" s="1">
        <v>22</v>
      </c>
      <c r="H251">
        <f t="shared" si="39"/>
        <v>-4.2999999999999972</v>
      </c>
      <c r="I251">
        <f t="shared" si="40"/>
        <v>-0.25294117647058806</v>
      </c>
      <c r="J251">
        <f t="shared" si="41"/>
        <v>6.5546810792945109E-2</v>
      </c>
      <c r="K251">
        <f t="shared" si="42"/>
        <v>0.70591649737063444</v>
      </c>
      <c r="L251">
        <f t="shared" si="43"/>
        <v>4.3835281663046691E-2</v>
      </c>
      <c r="M251" s="4">
        <f t="shared" si="44"/>
        <v>4.6270575088771512E-2</v>
      </c>
      <c r="N251">
        <f t="shared" si="45"/>
        <v>5.7838218860964394E-2</v>
      </c>
      <c r="O251" cm="1">
        <f t="array" ref="O251:Q251">_xlfn.XLOOKUP(C251, X$2:X$7, AG$2:AI$7)</f>
        <v>3.22</v>
      </c>
      <c r="P251">
        <v>-0.14799999999999999</v>
      </c>
      <c r="Q251">
        <v>0</v>
      </c>
      <c r="R251">
        <f t="shared" si="46"/>
        <v>0.14483178881073738</v>
      </c>
      <c r="S251" s="4">
        <f t="shared" si="47"/>
        <v>1</v>
      </c>
      <c r="T251">
        <f t="shared" si="48"/>
        <v>-0.95372942491122847</v>
      </c>
      <c r="U251">
        <f t="shared" si="49"/>
        <v>-0.94216178113903559</v>
      </c>
      <c r="AB251" s="3"/>
    </row>
    <row r="252" spans="1:28">
      <c r="A252" t="s">
        <v>467</v>
      </c>
      <c r="B252" t="s">
        <v>100</v>
      </c>
      <c r="C252" t="s">
        <v>586</v>
      </c>
      <c r="D252" s="1">
        <v>107.9</v>
      </c>
      <c r="E252" s="1">
        <f t="shared" si="38"/>
        <v>73</v>
      </c>
      <c r="F252">
        <v>68.599999999999994</v>
      </c>
      <c r="G252" s="1">
        <v>60</v>
      </c>
      <c r="H252">
        <f t="shared" si="39"/>
        <v>-4.4000000000000057</v>
      </c>
      <c r="I252">
        <f t="shared" si="40"/>
        <v>-0.25882352941176506</v>
      </c>
      <c r="J252">
        <f t="shared" si="41"/>
        <v>4.3815341276499997E-2</v>
      </c>
      <c r="K252">
        <f t="shared" si="42"/>
        <v>1.0011070456397422</v>
      </c>
      <c r="L252">
        <f t="shared" si="43"/>
        <v>4.1555223340118491E-2</v>
      </c>
      <c r="M252" s="4">
        <f t="shared" si="44"/>
        <v>4.3863846859013962E-2</v>
      </c>
      <c r="N252">
        <f t="shared" si="45"/>
        <v>5.4829808573767451E-2</v>
      </c>
      <c r="O252" cm="1">
        <f t="array" ref="O252:Q252">_xlfn.XLOOKUP(C252, X$2:X$7, AG$2:AI$7)</f>
        <v>5.0900000000000001E-2</v>
      </c>
      <c r="P252">
        <v>-3.9</v>
      </c>
      <c r="Q252">
        <v>73.900000000000006</v>
      </c>
      <c r="R252">
        <f t="shared" si="46"/>
        <v>27.004380000000019</v>
      </c>
      <c r="S252" s="4">
        <f t="shared" si="47"/>
        <v>1</v>
      </c>
      <c r="T252">
        <f t="shared" si="48"/>
        <v>-0.95613615314098599</v>
      </c>
      <c r="U252">
        <f t="shared" si="49"/>
        <v>-0.9451701914262326</v>
      </c>
      <c r="AB252" s="3"/>
    </row>
    <row r="253" spans="1:28">
      <c r="A253" t="s">
        <v>238</v>
      </c>
      <c r="B253" t="s">
        <v>102</v>
      </c>
      <c r="C253" t="s">
        <v>407</v>
      </c>
      <c r="D253" s="1">
        <v>116.9</v>
      </c>
      <c r="E253" s="1">
        <f t="shared" si="38"/>
        <v>93.4</v>
      </c>
      <c r="F253">
        <v>88.8</v>
      </c>
      <c r="G253" s="1">
        <v>79</v>
      </c>
      <c r="H253">
        <f t="shared" si="39"/>
        <v>-4.6000000000000085</v>
      </c>
      <c r="I253">
        <f t="shared" si="40"/>
        <v>-0.27058823529411813</v>
      </c>
      <c r="J253">
        <f t="shared" si="41"/>
        <v>3.5240224361321459E-4</v>
      </c>
      <c r="K253">
        <f t="shared" si="42"/>
        <v>0.94226603101549489</v>
      </c>
      <c r="L253">
        <f t="shared" si="43"/>
        <v>3.1457999691509615E-4</v>
      </c>
      <c r="M253" s="4">
        <f t="shared" si="44"/>
        <v>3.3205666341037926E-4</v>
      </c>
      <c r="N253">
        <f t="shared" si="45"/>
        <v>4.1507082926297407E-4</v>
      </c>
      <c r="O253" cm="1">
        <f t="array" ref="O253:Q253">_xlfn.XLOOKUP(C253, X$2:X$7, AG$2:AI$7)</f>
        <v>57.8</v>
      </c>
      <c r="P253">
        <v>-6.4299999999999996E-2</v>
      </c>
      <c r="Q253">
        <v>0</v>
      </c>
      <c r="R253">
        <f t="shared" si="46"/>
        <v>0.41967491848082944</v>
      </c>
      <c r="S253" s="4">
        <f t="shared" si="47"/>
        <v>1</v>
      </c>
      <c r="T253">
        <f t="shared" si="48"/>
        <v>-0.99966794333658959</v>
      </c>
      <c r="U253">
        <f t="shared" si="49"/>
        <v>-0.99958492917073705</v>
      </c>
      <c r="V253">
        <v>1</v>
      </c>
      <c r="AB253" s="3"/>
    </row>
    <row r="254" spans="1:28">
      <c r="A254" t="s">
        <v>260</v>
      </c>
      <c r="B254" t="s">
        <v>42</v>
      </c>
      <c r="C254" t="s">
        <v>407</v>
      </c>
      <c r="D254" s="1">
        <v>116.9</v>
      </c>
      <c r="E254" s="1">
        <f t="shared" si="38"/>
        <v>93.4</v>
      </c>
      <c r="F254">
        <v>59.5</v>
      </c>
      <c r="G254" s="1">
        <v>101</v>
      </c>
      <c r="H254">
        <f t="shared" si="39"/>
        <v>-33.900000000000006</v>
      </c>
      <c r="I254">
        <f t="shared" si="40"/>
        <v>-1.9941176470588238</v>
      </c>
      <c r="J254">
        <f t="shared" si="41"/>
        <v>0</v>
      </c>
      <c r="K254">
        <f t="shared" si="42"/>
        <v>0.94226603101549489</v>
      </c>
      <c r="L254">
        <f t="shared" si="43"/>
        <v>0</v>
      </c>
      <c r="M254" s="4">
        <f t="shared" si="44"/>
        <v>0</v>
      </c>
      <c r="N254">
        <f t="shared" si="45"/>
        <v>0</v>
      </c>
      <c r="O254" cm="1">
        <f t="array" ref="O254:Q254">_xlfn.XLOOKUP(C254, X$2:X$7, AG$2:AI$7)</f>
        <v>57.8</v>
      </c>
      <c r="P254">
        <v>-6.4299999999999996E-2</v>
      </c>
      <c r="Q254">
        <v>0</v>
      </c>
      <c r="R254">
        <f t="shared" si="46"/>
        <v>0.10199057509288539</v>
      </c>
      <c r="S254" s="4">
        <f t="shared" si="47"/>
        <v>1</v>
      </c>
      <c r="T254">
        <f t="shared" si="48"/>
        <v>-1</v>
      </c>
      <c r="U254">
        <f t="shared" si="49"/>
        <v>-1</v>
      </c>
      <c r="V254">
        <v>1</v>
      </c>
      <c r="AB254" s="3"/>
    </row>
    <row r="255" spans="1:28">
      <c r="A255" t="s">
        <v>477</v>
      </c>
      <c r="B255" t="s">
        <v>56</v>
      </c>
      <c r="C255" t="s">
        <v>586</v>
      </c>
      <c r="D255" s="1">
        <v>107.9</v>
      </c>
      <c r="E255" s="1">
        <f t="shared" si="38"/>
        <v>73</v>
      </c>
      <c r="F255">
        <v>49.1</v>
      </c>
      <c r="G255" s="1">
        <v>70</v>
      </c>
      <c r="H255">
        <f t="shared" si="39"/>
        <v>-23.9</v>
      </c>
      <c r="I255">
        <f t="shared" si="40"/>
        <v>-1.4058823529411764</v>
      </c>
      <c r="J255">
        <f t="shared" si="41"/>
        <v>0</v>
      </c>
      <c r="K255">
        <f t="shared" si="42"/>
        <v>1.0011070456397422</v>
      </c>
      <c r="L255">
        <f t="shared" si="43"/>
        <v>0</v>
      </c>
      <c r="M255" s="4">
        <f t="shared" si="44"/>
        <v>0</v>
      </c>
      <c r="N255">
        <f t="shared" si="45"/>
        <v>0</v>
      </c>
      <c r="O255" cm="1">
        <f t="array" ref="O255:Q255">_xlfn.XLOOKUP(C255, X$2:X$7, AG$2:AI$7)</f>
        <v>5.0900000000000001E-2</v>
      </c>
      <c r="P255">
        <v>-3.9</v>
      </c>
      <c r="Q255">
        <v>73.900000000000006</v>
      </c>
      <c r="R255">
        <f t="shared" si="46"/>
        <v>58.711770000000001</v>
      </c>
      <c r="S255" s="4">
        <f t="shared" si="47"/>
        <v>1</v>
      </c>
      <c r="T255">
        <f t="shared" si="48"/>
        <v>-1</v>
      </c>
      <c r="U255">
        <f t="shared" si="49"/>
        <v>-1</v>
      </c>
      <c r="V255">
        <v>1</v>
      </c>
      <c r="AB255" s="3"/>
    </row>
    <row r="256" spans="1:28">
      <c r="A256" t="s">
        <v>247</v>
      </c>
      <c r="B256" t="s">
        <v>70</v>
      </c>
      <c r="C256" t="s">
        <v>407</v>
      </c>
      <c r="D256" s="1">
        <v>116.9</v>
      </c>
      <c r="E256" s="1">
        <f t="shared" si="38"/>
        <v>93.4</v>
      </c>
      <c r="F256">
        <v>76.2</v>
      </c>
      <c r="G256" s="1">
        <v>88</v>
      </c>
      <c r="H256">
        <f t="shared" si="39"/>
        <v>-17.200000000000003</v>
      </c>
      <c r="I256">
        <f t="shared" si="40"/>
        <v>-1.0117647058823531</v>
      </c>
      <c r="J256">
        <f t="shared" si="41"/>
        <v>0</v>
      </c>
      <c r="K256">
        <f t="shared" si="42"/>
        <v>0.94226603101549489</v>
      </c>
      <c r="L256">
        <f t="shared" si="43"/>
        <v>0</v>
      </c>
      <c r="M256" s="4">
        <f t="shared" si="44"/>
        <v>0</v>
      </c>
      <c r="N256">
        <f t="shared" si="45"/>
        <v>0</v>
      </c>
      <c r="O256" cm="1">
        <f t="array" ref="O256:Q256">_xlfn.XLOOKUP(C256, X$2:X$7, AG$2:AI$7)</f>
        <v>57.8</v>
      </c>
      <c r="P256">
        <v>-6.4299999999999996E-2</v>
      </c>
      <c r="Q256">
        <v>0</v>
      </c>
      <c r="R256">
        <f t="shared" si="46"/>
        <v>0.23528096787783212</v>
      </c>
      <c r="S256" s="4">
        <f t="shared" si="47"/>
        <v>1</v>
      </c>
      <c r="T256">
        <f t="shared" si="48"/>
        <v>-1</v>
      </c>
      <c r="U256">
        <f t="shared" si="49"/>
        <v>-1</v>
      </c>
      <c r="V256">
        <v>1</v>
      </c>
      <c r="AB256" s="3"/>
    </row>
    <row r="257" spans="1:28">
      <c r="A257" t="s">
        <v>240</v>
      </c>
      <c r="B257" t="s">
        <v>72</v>
      </c>
      <c r="C257" t="s">
        <v>407</v>
      </c>
      <c r="D257" s="1">
        <v>116.9</v>
      </c>
      <c r="E257" s="1">
        <f t="shared" si="38"/>
        <v>93.4</v>
      </c>
      <c r="F257">
        <v>87.5</v>
      </c>
      <c r="G257" s="1">
        <v>81</v>
      </c>
      <c r="H257">
        <f t="shared" si="39"/>
        <v>-5.9000000000000057</v>
      </c>
      <c r="I257">
        <f t="shared" si="40"/>
        <v>-0.34705882352941209</v>
      </c>
      <c r="J257">
        <f t="shared" si="41"/>
        <v>0</v>
      </c>
      <c r="K257">
        <f t="shared" si="42"/>
        <v>0.94226603101549489</v>
      </c>
      <c r="L257">
        <f t="shared" si="43"/>
        <v>0</v>
      </c>
      <c r="M257" s="4">
        <f t="shared" si="44"/>
        <v>0</v>
      </c>
      <c r="N257">
        <f t="shared" si="45"/>
        <v>0</v>
      </c>
      <c r="O257" cm="1">
        <f t="array" ref="O257:Q257">_xlfn.XLOOKUP(C257, X$2:X$7, AG$2:AI$7)</f>
        <v>57.8</v>
      </c>
      <c r="P257">
        <v>-6.4299999999999996E-2</v>
      </c>
      <c r="Q257">
        <v>0</v>
      </c>
      <c r="R257">
        <f t="shared" si="46"/>
        <v>0.36903091018265033</v>
      </c>
      <c r="S257" s="4">
        <f t="shared" si="47"/>
        <v>1</v>
      </c>
      <c r="T257">
        <f t="shared" si="48"/>
        <v>-1</v>
      </c>
      <c r="U257">
        <f t="shared" si="49"/>
        <v>-1</v>
      </c>
      <c r="V257">
        <v>1</v>
      </c>
      <c r="AB257" s="3"/>
    </row>
    <row r="258" spans="1:28">
      <c r="A258" t="s">
        <v>241</v>
      </c>
      <c r="B258" t="s">
        <v>92</v>
      </c>
      <c r="C258" t="s">
        <v>407</v>
      </c>
      <c r="D258" s="1">
        <v>116.9</v>
      </c>
      <c r="E258" s="1">
        <f t="shared" ref="E258:E321" si="50">IF(C258=X$2, AE$2, IF(C258 = X$3, AE$3, IF(C258 = X$4, AE$4, IF(C258 = X$5, AE$5, IF(C258=X$6, AE$6, IF(C258=X$7, AE$7, ""))))))</f>
        <v>93.4</v>
      </c>
      <c r="F258">
        <v>86.8</v>
      </c>
      <c r="G258" s="1">
        <v>82</v>
      </c>
      <c r="H258">
        <f t="shared" ref="H258:H321" si="51">F258-E258</f>
        <v>-6.6000000000000085</v>
      </c>
      <c r="I258">
        <f t="shared" ref="I258:I321" si="52">H258/17</f>
        <v>-0.38823529411764757</v>
      </c>
      <c r="J258">
        <f t="shared" ref="J258:J321" si="53">IF(1+I258/AK$2&lt;0, 0,(1+I258/AK$2))</f>
        <v>0</v>
      </c>
      <c r="K258">
        <f t="shared" ref="K258:K321" si="54">IF(C258=X$2, AB$2, IF(C258 = X$3, AB$3, IF(C258 = X$4, AB$4, IF(C258 = X$5, AB$5, IF(C258=X$6, AB$6, IF(C258=X$7, AB$7, ""))))))</f>
        <v>0.94226603101549489</v>
      </c>
      <c r="L258">
        <f t="shared" ref="L258:L321" si="55">M258/AN$21*AN$12</f>
        <v>0</v>
      </c>
      <c r="M258" s="4">
        <f t="shared" ref="M258:M321" si="56">J258*K258</f>
        <v>0</v>
      </c>
      <c r="N258">
        <f t="shared" ref="N258:N321" si="57">M258*1.25</f>
        <v>0</v>
      </c>
      <c r="O258" cm="1">
        <f t="array" ref="O258:Q258">_xlfn.XLOOKUP(C258, X$2:X$7, AG$2:AI$7)</f>
        <v>57.8</v>
      </c>
      <c r="P258">
        <v>-6.4299999999999996E-2</v>
      </c>
      <c r="Q258">
        <v>0</v>
      </c>
      <c r="R258">
        <f t="shared" ref="R258:R321" si="58">IF(Q258=0,1.167*O258*EXP(P258*G258),1.167*(O258*G258^2+P258*G258+Q258))</f>
        <v>0.34604900845640185</v>
      </c>
      <c r="S258" s="4">
        <f t="shared" ref="S258:S321" si="59">IF(OR(H258&lt;0, R258&lt;1), 1, R258)</f>
        <v>1</v>
      </c>
      <c r="T258">
        <f t="shared" ref="T258:T321" si="60">M258-S258</f>
        <v>-1</v>
      </c>
      <c r="U258">
        <f t="shared" ref="U258:U321" si="61">N258-S258</f>
        <v>-1</v>
      </c>
      <c r="V258">
        <v>1</v>
      </c>
      <c r="AB258" s="3"/>
    </row>
    <row r="259" spans="1:28">
      <c r="A259" t="s">
        <v>262</v>
      </c>
      <c r="B259" t="s">
        <v>92</v>
      </c>
      <c r="C259" t="s">
        <v>407</v>
      </c>
      <c r="D259" s="1">
        <v>116.9</v>
      </c>
      <c r="E259" s="1">
        <f t="shared" si="50"/>
        <v>93.4</v>
      </c>
      <c r="F259">
        <v>58.7</v>
      </c>
      <c r="G259" s="1">
        <v>103</v>
      </c>
      <c r="H259">
        <f t="shared" si="51"/>
        <v>-34.700000000000003</v>
      </c>
      <c r="I259">
        <f t="shared" si="52"/>
        <v>-2.0411764705882356</v>
      </c>
      <c r="J259">
        <f t="shared" si="53"/>
        <v>0</v>
      </c>
      <c r="K259">
        <f t="shared" si="54"/>
        <v>0.94226603101549489</v>
      </c>
      <c r="L259">
        <f t="shared" si="55"/>
        <v>0</v>
      </c>
      <c r="M259" s="4">
        <f t="shared" si="56"/>
        <v>0</v>
      </c>
      <c r="N259">
        <f t="shared" si="57"/>
        <v>0</v>
      </c>
      <c r="O259" cm="1">
        <f t="array" ref="O259:Q259">_xlfn.XLOOKUP(C259, X$2:X$7, AG$2:AI$7)</f>
        <v>57.8</v>
      </c>
      <c r="P259">
        <v>-6.4299999999999996E-2</v>
      </c>
      <c r="Q259">
        <v>0</v>
      </c>
      <c r="R259">
        <f t="shared" si="58"/>
        <v>8.9682926234484317E-2</v>
      </c>
      <c r="S259" s="4">
        <f t="shared" si="59"/>
        <v>1</v>
      </c>
      <c r="T259">
        <f t="shared" si="60"/>
        <v>-1</v>
      </c>
      <c r="U259">
        <f t="shared" si="61"/>
        <v>-1</v>
      </c>
      <c r="V259">
        <v>1</v>
      </c>
      <c r="AB259" s="3"/>
    </row>
    <row r="260" spans="1:28">
      <c r="A260" t="s">
        <v>476</v>
      </c>
      <c r="B260" t="s">
        <v>74</v>
      </c>
      <c r="C260" t="s">
        <v>586</v>
      </c>
      <c r="D260" s="1">
        <v>107.9</v>
      </c>
      <c r="E260" s="1">
        <f t="shared" si="50"/>
        <v>73</v>
      </c>
      <c r="F260">
        <v>49.7</v>
      </c>
      <c r="G260" s="1">
        <v>69</v>
      </c>
      <c r="H260">
        <f t="shared" si="51"/>
        <v>-23.299999999999997</v>
      </c>
      <c r="I260">
        <f t="shared" si="52"/>
        <v>-1.3705882352941174</v>
      </c>
      <c r="J260">
        <f t="shared" si="53"/>
        <v>0</v>
      </c>
      <c r="K260">
        <f t="shared" si="54"/>
        <v>1.0011070456397422</v>
      </c>
      <c r="L260">
        <f t="shared" si="55"/>
        <v>0</v>
      </c>
      <c r="M260" s="4">
        <f t="shared" si="56"/>
        <v>0</v>
      </c>
      <c r="N260">
        <f t="shared" si="57"/>
        <v>0</v>
      </c>
      <c r="O260" cm="1">
        <f t="array" ref="O260:Q260">_xlfn.XLOOKUP(C260, X$2:X$7, AG$2:AI$7)</f>
        <v>5.0900000000000001E-2</v>
      </c>
      <c r="P260">
        <v>-3.9</v>
      </c>
      <c r="Q260">
        <v>73.900000000000006</v>
      </c>
      <c r="R260">
        <f t="shared" si="58"/>
        <v>55.006428300000053</v>
      </c>
      <c r="S260" s="4">
        <f t="shared" si="59"/>
        <v>1</v>
      </c>
      <c r="T260">
        <f t="shared" si="60"/>
        <v>-1</v>
      </c>
      <c r="U260">
        <f t="shared" si="61"/>
        <v>-1</v>
      </c>
      <c r="V260">
        <v>1</v>
      </c>
      <c r="AB260" s="3"/>
    </row>
    <row r="261" spans="1:28">
      <c r="A261" t="s">
        <v>246</v>
      </c>
      <c r="B261" t="s">
        <v>52</v>
      </c>
      <c r="C261" t="s">
        <v>407</v>
      </c>
      <c r="D261" s="1">
        <v>116.9</v>
      </c>
      <c r="E261" s="1">
        <f t="shared" si="50"/>
        <v>93.4</v>
      </c>
      <c r="F261">
        <v>76.599999999999994</v>
      </c>
      <c r="G261" s="1">
        <v>87</v>
      </c>
      <c r="H261">
        <f t="shared" si="51"/>
        <v>-16.800000000000011</v>
      </c>
      <c r="I261">
        <f t="shared" si="52"/>
        <v>-0.98823529411764777</v>
      </c>
      <c r="J261">
        <f t="shared" si="53"/>
        <v>0</v>
      </c>
      <c r="K261">
        <f t="shared" si="54"/>
        <v>0.94226603101549489</v>
      </c>
      <c r="L261">
        <f t="shared" si="55"/>
        <v>0</v>
      </c>
      <c r="M261" s="4">
        <f t="shared" si="56"/>
        <v>0</v>
      </c>
      <c r="N261">
        <f t="shared" si="57"/>
        <v>0</v>
      </c>
      <c r="O261" cm="1">
        <f t="array" ref="O261:Q261">_xlfn.XLOOKUP(C261, X$2:X$7, AG$2:AI$7)</f>
        <v>57.8</v>
      </c>
      <c r="P261">
        <v>-6.4299999999999996E-2</v>
      </c>
      <c r="Q261">
        <v>0</v>
      </c>
      <c r="R261">
        <f t="shared" si="58"/>
        <v>0.25090651209177001</v>
      </c>
      <c r="S261" s="4">
        <f t="shared" si="59"/>
        <v>1</v>
      </c>
      <c r="T261">
        <f t="shared" si="60"/>
        <v>-1</v>
      </c>
      <c r="U261">
        <f t="shared" si="61"/>
        <v>-1</v>
      </c>
      <c r="V261">
        <v>1</v>
      </c>
      <c r="AB261" s="3"/>
    </row>
    <row r="262" spans="1:28">
      <c r="A262" t="s">
        <v>618</v>
      </c>
      <c r="B262" t="s">
        <v>88</v>
      </c>
      <c r="C262" t="s">
        <v>729</v>
      </c>
      <c r="D262" s="1">
        <v>99</v>
      </c>
      <c r="E262" s="1">
        <f t="shared" si="50"/>
        <v>82.5</v>
      </c>
      <c r="F262">
        <v>72.7</v>
      </c>
      <c r="G262" s="1">
        <v>32</v>
      </c>
      <c r="H262">
        <f t="shared" si="51"/>
        <v>-9.7999999999999972</v>
      </c>
      <c r="I262">
        <f t="shared" si="52"/>
        <v>-0.57647058823529396</v>
      </c>
      <c r="J262">
        <f t="shared" si="53"/>
        <v>0</v>
      </c>
      <c r="K262">
        <f t="shared" si="54"/>
        <v>1.0909252297006058</v>
      </c>
      <c r="L262">
        <f t="shared" si="55"/>
        <v>0</v>
      </c>
      <c r="M262" s="4">
        <f t="shared" si="56"/>
        <v>0</v>
      </c>
      <c r="N262">
        <f t="shared" si="57"/>
        <v>0</v>
      </c>
      <c r="O262" cm="1">
        <f t="array" ref="O262:Q262">_xlfn.XLOOKUP(C262, X$2:X$7, AG$2:AI$7)</f>
        <v>55.4</v>
      </c>
      <c r="P262">
        <v>-0.253</v>
      </c>
      <c r="Q262">
        <v>0</v>
      </c>
      <c r="R262">
        <f t="shared" si="58"/>
        <v>1.9703006258185347E-2</v>
      </c>
      <c r="S262" s="4">
        <f t="shared" si="59"/>
        <v>1</v>
      </c>
      <c r="T262">
        <f t="shared" si="60"/>
        <v>-1</v>
      </c>
      <c r="U262">
        <f t="shared" si="61"/>
        <v>-1</v>
      </c>
      <c r="V262">
        <v>1</v>
      </c>
      <c r="AB262" s="3"/>
    </row>
    <row r="263" spans="1:28">
      <c r="A263" t="s">
        <v>287</v>
      </c>
      <c r="B263" t="s">
        <v>68</v>
      </c>
      <c r="C263" t="s">
        <v>407</v>
      </c>
      <c r="D263" s="1">
        <v>116.9</v>
      </c>
      <c r="E263" s="1">
        <f t="shared" si="50"/>
        <v>93.4</v>
      </c>
      <c r="F263">
        <v>32.5</v>
      </c>
      <c r="G263" s="1">
        <v>128</v>
      </c>
      <c r="H263">
        <f t="shared" si="51"/>
        <v>-60.900000000000006</v>
      </c>
      <c r="I263">
        <f t="shared" si="52"/>
        <v>-3.5823529411764707</v>
      </c>
      <c r="J263">
        <f t="shared" si="53"/>
        <v>0</v>
      </c>
      <c r="K263">
        <f t="shared" si="54"/>
        <v>0.94226603101549489</v>
      </c>
      <c r="L263">
        <f t="shared" si="55"/>
        <v>0</v>
      </c>
      <c r="M263" s="4">
        <f t="shared" si="56"/>
        <v>0</v>
      </c>
      <c r="N263">
        <f t="shared" si="57"/>
        <v>0</v>
      </c>
      <c r="O263" cm="1">
        <f t="array" ref="O263:Q263">_xlfn.XLOOKUP(C263, X$2:X$7, AG$2:AI$7)</f>
        <v>57.8</v>
      </c>
      <c r="P263">
        <v>-6.4299999999999996E-2</v>
      </c>
      <c r="Q263">
        <v>0</v>
      </c>
      <c r="R263">
        <f t="shared" si="58"/>
        <v>1.7971378480703487E-2</v>
      </c>
      <c r="S263" s="4">
        <f t="shared" si="59"/>
        <v>1</v>
      </c>
      <c r="T263">
        <f t="shared" si="60"/>
        <v>-1</v>
      </c>
      <c r="U263">
        <f t="shared" si="61"/>
        <v>-1</v>
      </c>
      <c r="V263">
        <v>1</v>
      </c>
      <c r="AB263" s="3"/>
    </row>
    <row r="264" spans="1:28">
      <c r="A264" t="s">
        <v>615</v>
      </c>
      <c r="B264" t="s">
        <v>94</v>
      </c>
      <c r="C264" t="s">
        <v>729</v>
      </c>
      <c r="D264" s="1">
        <v>99</v>
      </c>
      <c r="E264" s="1">
        <f t="shared" si="50"/>
        <v>82.5</v>
      </c>
      <c r="F264">
        <v>74.099999999999994</v>
      </c>
      <c r="G264" s="1">
        <v>29</v>
      </c>
      <c r="H264">
        <f t="shared" si="51"/>
        <v>-8.4000000000000057</v>
      </c>
      <c r="I264">
        <f t="shared" si="52"/>
        <v>-0.49411764705882388</v>
      </c>
      <c r="J264">
        <f t="shared" si="53"/>
        <v>0</v>
      </c>
      <c r="K264">
        <f t="shared" si="54"/>
        <v>1.0909252297006058</v>
      </c>
      <c r="L264">
        <f t="shared" si="55"/>
        <v>0</v>
      </c>
      <c r="M264" s="4">
        <f t="shared" si="56"/>
        <v>0</v>
      </c>
      <c r="N264">
        <f t="shared" si="57"/>
        <v>0</v>
      </c>
      <c r="O264" cm="1">
        <f t="array" ref="O264:Q264">_xlfn.XLOOKUP(C264, X$2:X$7, AG$2:AI$7)</f>
        <v>55.4</v>
      </c>
      <c r="P264">
        <v>-0.253</v>
      </c>
      <c r="Q264">
        <v>0</v>
      </c>
      <c r="R264">
        <f t="shared" si="58"/>
        <v>4.2088360342638451E-2</v>
      </c>
      <c r="S264" s="4">
        <f t="shared" si="59"/>
        <v>1</v>
      </c>
      <c r="T264">
        <f t="shared" si="60"/>
        <v>-1</v>
      </c>
      <c r="U264">
        <f t="shared" si="61"/>
        <v>-1</v>
      </c>
      <c r="V264">
        <v>1</v>
      </c>
      <c r="AB264" s="3"/>
    </row>
    <row r="265" spans="1:28">
      <c r="A265" t="s">
        <v>248</v>
      </c>
      <c r="B265" t="s">
        <v>94</v>
      </c>
      <c r="C265" t="s">
        <v>407</v>
      </c>
      <c r="D265" s="1">
        <v>116.9</v>
      </c>
      <c r="E265" s="1">
        <f t="shared" si="50"/>
        <v>93.4</v>
      </c>
      <c r="F265">
        <v>72.8</v>
      </c>
      <c r="G265" s="1">
        <v>89</v>
      </c>
      <c r="H265">
        <f t="shared" si="51"/>
        <v>-20.600000000000009</v>
      </c>
      <c r="I265">
        <f t="shared" si="52"/>
        <v>-1.2117647058823535</v>
      </c>
      <c r="J265">
        <f t="shared" si="53"/>
        <v>0</v>
      </c>
      <c r="K265">
        <f t="shared" si="54"/>
        <v>0.94226603101549489</v>
      </c>
      <c r="L265">
        <f t="shared" si="55"/>
        <v>0</v>
      </c>
      <c r="M265" s="4">
        <f t="shared" si="56"/>
        <v>0</v>
      </c>
      <c r="N265">
        <f t="shared" si="57"/>
        <v>0</v>
      </c>
      <c r="O265" cm="1">
        <f t="array" ref="O265:Q265">_xlfn.XLOOKUP(C265, X$2:X$7, AG$2:AI$7)</f>
        <v>57.8</v>
      </c>
      <c r="P265">
        <v>-6.4299999999999996E-2</v>
      </c>
      <c r="Q265">
        <v>0</v>
      </c>
      <c r="R265">
        <f t="shared" si="58"/>
        <v>0.22062852567685581</v>
      </c>
      <c r="S265" s="4">
        <f t="shared" si="59"/>
        <v>1</v>
      </c>
      <c r="T265">
        <f t="shared" si="60"/>
        <v>-1</v>
      </c>
      <c r="U265">
        <f t="shared" si="61"/>
        <v>-1</v>
      </c>
      <c r="V265">
        <v>1</v>
      </c>
      <c r="AB265" s="3"/>
    </row>
    <row r="266" spans="1:28">
      <c r="A266" t="s">
        <v>475</v>
      </c>
      <c r="B266" t="s">
        <v>62</v>
      </c>
      <c r="C266" t="s">
        <v>586</v>
      </c>
      <c r="D266" s="1">
        <v>107.9</v>
      </c>
      <c r="E266" s="1">
        <f t="shared" si="50"/>
        <v>73</v>
      </c>
      <c r="F266">
        <v>49.9</v>
      </c>
      <c r="G266" s="1">
        <v>68</v>
      </c>
      <c r="H266">
        <f t="shared" si="51"/>
        <v>-23.1</v>
      </c>
      <c r="I266">
        <f t="shared" si="52"/>
        <v>-1.3588235294117648</v>
      </c>
      <c r="J266">
        <f t="shared" si="53"/>
        <v>0</v>
      </c>
      <c r="K266">
        <f t="shared" si="54"/>
        <v>1.0011070456397422</v>
      </c>
      <c r="L266">
        <f t="shared" si="55"/>
        <v>0</v>
      </c>
      <c r="M266" s="4">
        <f t="shared" si="56"/>
        <v>0</v>
      </c>
      <c r="N266">
        <f t="shared" si="57"/>
        <v>0</v>
      </c>
      <c r="O266" cm="1">
        <f t="array" ref="O266:Q266">_xlfn.XLOOKUP(C266, X$2:X$7, AG$2:AI$7)</f>
        <v>5.0900000000000001E-2</v>
      </c>
      <c r="P266">
        <v>-3.9</v>
      </c>
      <c r="Q266">
        <v>73.900000000000006</v>
      </c>
      <c r="R266">
        <f t="shared" si="58"/>
        <v>51.419887200000034</v>
      </c>
      <c r="S266" s="4">
        <f t="shared" si="59"/>
        <v>1</v>
      </c>
      <c r="T266">
        <f t="shared" si="60"/>
        <v>-1</v>
      </c>
      <c r="U266">
        <f t="shared" si="61"/>
        <v>-1</v>
      </c>
      <c r="V266">
        <v>1</v>
      </c>
      <c r="AB266" s="3"/>
    </row>
    <row r="267" spans="1:28">
      <c r="A267" t="s">
        <v>259</v>
      </c>
      <c r="B267" t="s">
        <v>62</v>
      </c>
      <c r="C267" t="s">
        <v>407</v>
      </c>
      <c r="D267" s="1">
        <v>116.9</v>
      </c>
      <c r="E267" s="1">
        <f t="shared" si="50"/>
        <v>93.4</v>
      </c>
      <c r="F267">
        <v>62</v>
      </c>
      <c r="G267" s="1">
        <v>100</v>
      </c>
      <c r="H267">
        <f t="shared" si="51"/>
        <v>-31.400000000000006</v>
      </c>
      <c r="I267">
        <f t="shared" si="52"/>
        <v>-1.8470588235294121</v>
      </c>
      <c r="J267">
        <f t="shared" si="53"/>
        <v>0</v>
      </c>
      <c r="K267">
        <f t="shared" si="54"/>
        <v>0.94226603101549489</v>
      </c>
      <c r="L267">
        <f t="shared" si="55"/>
        <v>0</v>
      </c>
      <c r="M267" s="4">
        <f t="shared" si="56"/>
        <v>0</v>
      </c>
      <c r="N267">
        <f t="shared" si="57"/>
        <v>0</v>
      </c>
      <c r="O267" cm="1">
        <f t="array" ref="O267:Q267">_xlfn.XLOOKUP(C267, X$2:X$7, AG$2:AI$7)</f>
        <v>57.8</v>
      </c>
      <c r="P267">
        <v>-6.4299999999999996E-2</v>
      </c>
      <c r="Q267">
        <v>0</v>
      </c>
      <c r="R267">
        <f t="shared" si="58"/>
        <v>0.10876400115829649</v>
      </c>
      <c r="S267" s="4">
        <f t="shared" si="59"/>
        <v>1</v>
      </c>
      <c r="T267">
        <f t="shared" si="60"/>
        <v>-1</v>
      </c>
      <c r="U267">
        <f t="shared" si="61"/>
        <v>-1</v>
      </c>
      <c r="V267">
        <v>1</v>
      </c>
      <c r="AB267" s="3"/>
    </row>
    <row r="268" spans="1:28">
      <c r="A268" t="s">
        <v>633</v>
      </c>
      <c r="B268" t="s">
        <v>66</v>
      </c>
      <c r="C268" t="s">
        <v>729</v>
      </c>
      <c r="D268" s="1">
        <v>99</v>
      </c>
      <c r="E268" s="1">
        <f t="shared" si="50"/>
        <v>82.5</v>
      </c>
      <c r="F268">
        <v>38</v>
      </c>
      <c r="G268" s="1">
        <v>47</v>
      </c>
      <c r="H268">
        <f t="shared" si="51"/>
        <v>-44.5</v>
      </c>
      <c r="I268">
        <f t="shared" si="52"/>
        <v>-2.6176470588235294</v>
      </c>
      <c r="J268">
        <f t="shared" si="53"/>
        <v>0</v>
      </c>
      <c r="K268">
        <f t="shared" si="54"/>
        <v>1.0909252297006058</v>
      </c>
      <c r="L268">
        <f t="shared" si="55"/>
        <v>0</v>
      </c>
      <c r="M268" s="4">
        <f t="shared" si="56"/>
        <v>0</v>
      </c>
      <c r="N268">
        <f t="shared" si="57"/>
        <v>0</v>
      </c>
      <c r="O268" cm="1">
        <f t="array" ref="O268:Q268">_xlfn.XLOOKUP(C268, X$2:X$7, AG$2:AI$7)</f>
        <v>55.4</v>
      </c>
      <c r="P268">
        <v>-0.253</v>
      </c>
      <c r="Q268">
        <v>0</v>
      </c>
      <c r="R268">
        <f t="shared" si="58"/>
        <v>4.4298083400933191E-4</v>
      </c>
      <c r="S268" s="4">
        <f t="shared" si="59"/>
        <v>1</v>
      </c>
      <c r="T268">
        <f t="shared" si="60"/>
        <v>-1</v>
      </c>
      <c r="U268">
        <f t="shared" si="61"/>
        <v>-1</v>
      </c>
      <c r="V268">
        <v>1</v>
      </c>
      <c r="AB268" s="3"/>
    </row>
    <row r="269" spans="1:28">
      <c r="A269" t="s">
        <v>278</v>
      </c>
      <c r="B269" t="s">
        <v>84</v>
      </c>
      <c r="C269" t="s">
        <v>407</v>
      </c>
      <c r="D269" s="1">
        <v>116.9</v>
      </c>
      <c r="E269" s="1">
        <f t="shared" si="50"/>
        <v>93.4</v>
      </c>
      <c r="F269">
        <v>40.6</v>
      </c>
      <c r="G269" s="1">
        <v>119</v>
      </c>
      <c r="H269">
        <f t="shared" si="51"/>
        <v>-52.800000000000004</v>
      </c>
      <c r="I269">
        <f t="shared" si="52"/>
        <v>-3.1058823529411765</v>
      </c>
      <c r="J269">
        <f t="shared" si="53"/>
        <v>0</v>
      </c>
      <c r="K269">
        <f t="shared" si="54"/>
        <v>0.94226603101549489</v>
      </c>
      <c r="L269">
        <f t="shared" si="55"/>
        <v>0</v>
      </c>
      <c r="M269" s="4">
        <f t="shared" si="56"/>
        <v>0</v>
      </c>
      <c r="N269">
        <f t="shared" si="57"/>
        <v>0</v>
      </c>
      <c r="O269" cm="1">
        <f t="array" ref="O269:Q269">_xlfn.XLOOKUP(C269, X$2:X$7, AG$2:AI$7)</f>
        <v>57.8</v>
      </c>
      <c r="P269">
        <v>-6.4299999999999996E-2</v>
      </c>
      <c r="Q269">
        <v>0</v>
      </c>
      <c r="R269">
        <f t="shared" si="58"/>
        <v>3.2055872886384791E-2</v>
      </c>
      <c r="S269" s="4">
        <f t="shared" si="59"/>
        <v>1</v>
      </c>
      <c r="T269">
        <f t="shared" si="60"/>
        <v>-1</v>
      </c>
      <c r="U269">
        <f t="shared" si="61"/>
        <v>-1</v>
      </c>
      <c r="V269">
        <v>1</v>
      </c>
      <c r="AB269" s="3"/>
    </row>
    <row r="270" spans="1:28">
      <c r="A270" t="s">
        <v>754</v>
      </c>
      <c r="B270" t="s">
        <v>98</v>
      </c>
      <c r="C270" t="s">
        <v>764</v>
      </c>
      <c r="D270" s="1">
        <v>124.7</v>
      </c>
      <c r="E270" s="1">
        <f t="shared" si="50"/>
        <v>118.7</v>
      </c>
      <c r="F270">
        <v>113</v>
      </c>
      <c r="G270" s="1">
        <v>25</v>
      </c>
      <c r="H270">
        <f t="shared" si="51"/>
        <v>-5.7000000000000028</v>
      </c>
      <c r="I270">
        <f t="shared" si="52"/>
        <v>-0.33529411764705896</v>
      </c>
      <c r="J270">
        <f t="shared" si="53"/>
        <v>0</v>
      </c>
      <c r="K270">
        <f t="shared" si="54"/>
        <v>0.70591649737063444</v>
      </c>
      <c r="L270">
        <f t="shared" si="55"/>
        <v>0</v>
      </c>
      <c r="M270" s="4">
        <f t="shared" si="56"/>
        <v>0</v>
      </c>
      <c r="N270">
        <f t="shared" si="57"/>
        <v>0</v>
      </c>
      <c r="O270" cm="1">
        <f t="array" ref="O270:Q270">_xlfn.XLOOKUP(C270, X$2:X$7, AG$2:AI$7)</f>
        <v>3.22</v>
      </c>
      <c r="P270">
        <v>-0.14799999999999999</v>
      </c>
      <c r="Q270">
        <v>0</v>
      </c>
      <c r="R270">
        <f t="shared" si="58"/>
        <v>9.2904584358653189E-2</v>
      </c>
      <c r="S270" s="4">
        <f t="shared" si="59"/>
        <v>1</v>
      </c>
      <c r="T270">
        <f t="shared" si="60"/>
        <v>-1</v>
      </c>
      <c r="U270">
        <f t="shared" si="61"/>
        <v>-1</v>
      </c>
      <c r="AB270" s="3"/>
    </row>
    <row r="271" spans="1:28">
      <c r="A271" t="s">
        <v>104</v>
      </c>
      <c r="B271" t="s">
        <v>98</v>
      </c>
      <c r="C271" t="s">
        <v>159</v>
      </c>
      <c r="D271" s="1">
        <v>228</v>
      </c>
      <c r="E271" s="1">
        <f t="shared" si="50"/>
        <v>190</v>
      </c>
      <c r="F271">
        <v>72.099999999999994</v>
      </c>
      <c r="G271" s="1">
        <v>34</v>
      </c>
      <c r="H271">
        <f t="shared" si="51"/>
        <v>-117.9</v>
      </c>
      <c r="I271">
        <f t="shared" si="52"/>
        <v>-6.9352941176470591</v>
      </c>
      <c r="J271">
        <f t="shared" si="53"/>
        <v>0</v>
      </c>
      <c r="K271">
        <f t="shared" si="54"/>
        <v>0.57566309754037293</v>
      </c>
      <c r="L271">
        <f t="shared" si="55"/>
        <v>0</v>
      </c>
      <c r="M271" s="4">
        <f t="shared" si="56"/>
        <v>0</v>
      </c>
      <c r="N271">
        <f t="shared" si="57"/>
        <v>0</v>
      </c>
      <c r="O271" cm="1">
        <f t="array" ref="O271:Q271">_xlfn.XLOOKUP(C271, X$2:X$7, AG$2:AI$7)</f>
        <v>56.4</v>
      </c>
      <c r="P271">
        <v>-0.16300000000000001</v>
      </c>
      <c r="Q271">
        <v>0</v>
      </c>
      <c r="R271">
        <f t="shared" si="58"/>
        <v>0.25792292262989591</v>
      </c>
      <c r="S271" s="4">
        <f t="shared" si="59"/>
        <v>1</v>
      </c>
      <c r="T271">
        <f t="shared" si="60"/>
        <v>-1</v>
      </c>
      <c r="U271">
        <f t="shared" si="61"/>
        <v>-1</v>
      </c>
      <c r="AB271" s="3"/>
    </row>
    <row r="272" spans="1:28">
      <c r="A272" t="s">
        <v>115</v>
      </c>
      <c r="B272" t="s">
        <v>98</v>
      </c>
      <c r="C272" t="s">
        <v>159</v>
      </c>
      <c r="D272" s="1">
        <v>228</v>
      </c>
      <c r="E272" s="1">
        <f t="shared" si="50"/>
        <v>190</v>
      </c>
      <c r="F272">
        <v>29.6</v>
      </c>
      <c r="G272" s="1">
        <v>45</v>
      </c>
      <c r="H272">
        <f t="shared" si="51"/>
        <v>-160.4</v>
      </c>
      <c r="I272">
        <f t="shared" si="52"/>
        <v>-9.4352941176470591</v>
      </c>
      <c r="J272">
        <f t="shared" si="53"/>
        <v>0</v>
      </c>
      <c r="K272">
        <f t="shared" si="54"/>
        <v>0.57566309754037293</v>
      </c>
      <c r="L272">
        <f t="shared" si="55"/>
        <v>0</v>
      </c>
      <c r="M272" s="4">
        <f t="shared" si="56"/>
        <v>0</v>
      </c>
      <c r="N272">
        <f t="shared" si="57"/>
        <v>0</v>
      </c>
      <c r="O272" cm="1">
        <f t="array" ref="O272:Q272">_xlfn.XLOOKUP(C272, X$2:X$7, AG$2:AI$7)</f>
        <v>56.4</v>
      </c>
      <c r="P272">
        <v>-0.16300000000000001</v>
      </c>
      <c r="Q272">
        <v>0</v>
      </c>
      <c r="R272">
        <f t="shared" si="58"/>
        <v>4.2933859947746074E-2</v>
      </c>
      <c r="S272" s="4">
        <f t="shared" si="59"/>
        <v>1</v>
      </c>
      <c r="T272">
        <f t="shared" si="60"/>
        <v>-1</v>
      </c>
      <c r="U272">
        <f t="shared" si="61"/>
        <v>-1</v>
      </c>
      <c r="AB272" s="3"/>
    </row>
    <row r="273" spans="1:28">
      <c r="A273" t="s">
        <v>126</v>
      </c>
      <c r="B273" t="s">
        <v>98</v>
      </c>
      <c r="C273" t="s">
        <v>159</v>
      </c>
      <c r="D273" s="1">
        <v>228</v>
      </c>
      <c r="E273" s="1">
        <f t="shared" si="50"/>
        <v>190</v>
      </c>
      <c r="F273">
        <v>19.600000000000001</v>
      </c>
      <c r="G273" s="1">
        <v>56</v>
      </c>
      <c r="H273">
        <f t="shared" si="51"/>
        <v>-170.4</v>
      </c>
      <c r="I273">
        <f t="shared" si="52"/>
        <v>-10.023529411764706</v>
      </c>
      <c r="J273">
        <f t="shared" si="53"/>
        <v>0</v>
      </c>
      <c r="K273">
        <f t="shared" si="54"/>
        <v>0.57566309754037293</v>
      </c>
      <c r="L273">
        <f t="shared" si="55"/>
        <v>0</v>
      </c>
      <c r="M273" s="4">
        <f t="shared" si="56"/>
        <v>0</v>
      </c>
      <c r="N273">
        <f t="shared" si="57"/>
        <v>0</v>
      </c>
      <c r="O273" cm="1">
        <f t="array" ref="O273:Q273">_xlfn.XLOOKUP(C273, X$2:X$7, AG$2:AI$7)</f>
        <v>56.4</v>
      </c>
      <c r="P273">
        <v>-0.16300000000000001</v>
      </c>
      <c r="Q273">
        <v>0</v>
      </c>
      <c r="R273">
        <f t="shared" si="58"/>
        <v>7.1467720325801495E-3</v>
      </c>
      <c r="S273" s="4">
        <f t="shared" si="59"/>
        <v>1</v>
      </c>
      <c r="T273">
        <f t="shared" si="60"/>
        <v>-1</v>
      </c>
      <c r="U273">
        <f t="shared" si="61"/>
        <v>-1</v>
      </c>
      <c r="AB273" s="3"/>
    </row>
    <row r="274" spans="1:28">
      <c r="A274" t="s">
        <v>140</v>
      </c>
      <c r="B274" t="s">
        <v>98</v>
      </c>
      <c r="C274" t="s">
        <v>159</v>
      </c>
      <c r="D274" s="1">
        <v>228</v>
      </c>
      <c r="E274" s="1">
        <f t="shared" si="50"/>
        <v>190</v>
      </c>
      <c r="F274">
        <v>14.5</v>
      </c>
      <c r="G274" s="1">
        <v>70</v>
      </c>
      <c r="H274">
        <f t="shared" si="51"/>
        <v>-175.5</v>
      </c>
      <c r="I274">
        <f t="shared" si="52"/>
        <v>-10.323529411764707</v>
      </c>
      <c r="J274">
        <f t="shared" si="53"/>
        <v>0</v>
      </c>
      <c r="K274">
        <f t="shared" si="54"/>
        <v>0.57566309754037293</v>
      </c>
      <c r="L274">
        <f t="shared" si="55"/>
        <v>0</v>
      </c>
      <c r="M274" s="4">
        <f t="shared" si="56"/>
        <v>0</v>
      </c>
      <c r="N274">
        <f t="shared" si="57"/>
        <v>0</v>
      </c>
      <c r="O274" cm="1">
        <f t="array" ref="O274:Q274">_xlfn.XLOOKUP(C274, X$2:X$7, AG$2:AI$7)</f>
        <v>56.4</v>
      </c>
      <c r="P274">
        <v>-0.16300000000000001</v>
      </c>
      <c r="Q274">
        <v>0</v>
      </c>
      <c r="R274">
        <f t="shared" si="58"/>
        <v>7.2954136514302519E-4</v>
      </c>
      <c r="S274" s="4">
        <f t="shared" si="59"/>
        <v>1</v>
      </c>
      <c r="T274">
        <f t="shared" si="60"/>
        <v>-1</v>
      </c>
      <c r="U274">
        <f t="shared" si="61"/>
        <v>-1</v>
      </c>
      <c r="AB274" s="3"/>
    </row>
    <row r="275" spans="1:28">
      <c r="A275" t="s">
        <v>143</v>
      </c>
      <c r="B275" t="s">
        <v>98</v>
      </c>
      <c r="C275" t="s">
        <v>159</v>
      </c>
      <c r="D275" s="1">
        <v>228</v>
      </c>
      <c r="E275" s="1">
        <f t="shared" si="50"/>
        <v>190</v>
      </c>
      <c r="F275">
        <v>11.8</v>
      </c>
      <c r="G275" s="1">
        <v>73</v>
      </c>
      <c r="H275">
        <f t="shared" si="51"/>
        <v>-178.2</v>
      </c>
      <c r="I275">
        <f t="shared" si="52"/>
        <v>-10.482352941176471</v>
      </c>
      <c r="J275">
        <f t="shared" si="53"/>
        <v>0</v>
      </c>
      <c r="K275">
        <f t="shared" si="54"/>
        <v>0.57566309754037293</v>
      </c>
      <c r="L275">
        <f t="shared" si="55"/>
        <v>0</v>
      </c>
      <c r="M275" s="4">
        <f t="shared" si="56"/>
        <v>0</v>
      </c>
      <c r="N275">
        <f t="shared" si="57"/>
        <v>0</v>
      </c>
      <c r="O275" cm="1">
        <f t="array" ref="O275:Q275">_xlfn.XLOOKUP(C275, X$2:X$7, AG$2:AI$7)</f>
        <v>56.4</v>
      </c>
      <c r="P275">
        <v>-0.16300000000000001</v>
      </c>
      <c r="Q275">
        <v>0</v>
      </c>
      <c r="R275">
        <f t="shared" si="58"/>
        <v>4.4738345577453957E-4</v>
      </c>
      <c r="S275" s="4">
        <f t="shared" si="59"/>
        <v>1</v>
      </c>
      <c r="T275">
        <f t="shared" si="60"/>
        <v>-1</v>
      </c>
      <c r="U275">
        <f t="shared" si="61"/>
        <v>-1</v>
      </c>
      <c r="AB275" s="3"/>
    </row>
    <row r="276" spans="1:28">
      <c r="A276" t="s">
        <v>473</v>
      </c>
      <c r="B276" t="s">
        <v>98</v>
      </c>
      <c r="C276" t="s">
        <v>586</v>
      </c>
      <c r="D276" s="1">
        <v>107.9</v>
      </c>
      <c r="E276" s="1">
        <f t="shared" si="50"/>
        <v>73</v>
      </c>
      <c r="F276">
        <v>58.2</v>
      </c>
      <c r="G276" s="1">
        <v>66</v>
      </c>
      <c r="H276">
        <f t="shared" si="51"/>
        <v>-14.799999999999997</v>
      </c>
      <c r="I276">
        <f t="shared" si="52"/>
        <v>-0.87058823529411744</v>
      </c>
      <c r="J276">
        <f t="shared" si="53"/>
        <v>0</v>
      </c>
      <c r="K276">
        <f t="shared" si="54"/>
        <v>1.0011070456397422</v>
      </c>
      <c r="L276">
        <f t="shared" si="55"/>
        <v>0</v>
      </c>
      <c r="M276" s="4">
        <f t="shared" si="56"/>
        <v>0</v>
      </c>
      <c r="N276">
        <f t="shared" si="57"/>
        <v>0</v>
      </c>
      <c r="O276" cm="1">
        <f t="array" ref="O276:Q276">_xlfn.XLOOKUP(C276, X$2:X$7, AG$2:AI$7)</f>
        <v>5.0900000000000001E-2</v>
      </c>
      <c r="P276">
        <v>-3.9</v>
      </c>
      <c r="Q276">
        <v>73.900000000000006</v>
      </c>
      <c r="R276">
        <f t="shared" si="58"/>
        <v>44.603206800000052</v>
      </c>
      <c r="S276" s="4">
        <f t="shared" si="59"/>
        <v>1</v>
      </c>
      <c r="T276">
        <f t="shared" si="60"/>
        <v>-1</v>
      </c>
      <c r="U276">
        <f t="shared" si="61"/>
        <v>-1</v>
      </c>
      <c r="AB276" s="3"/>
    </row>
    <row r="277" spans="1:28">
      <c r="A277" t="s">
        <v>483</v>
      </c>
      <c r="B277" t="s">
        <v>98</v>
      </c>
      <c r="C277" t="s">
        <v>586</v>
      </c>
      <c r="D277" s="1">
        <v>107.9</v>
      </c>
      <c r="E277" s="1">
        <f t="shared" si="50"/>
        <v>73</v>
      </c>
      <c r="F277">
        <v>44.7</v>
      </c>
      <c r="G277" s="1">
        <v>76</v>
      </c>
      <c r="H277">
        <f t="shared" si="51"/>
        <v>-28.299999999999997</v>
      </c>
      <c r="I277">
        <f t="shared" si="52"/>
        <v>-1.664705882352941</v>
      </c>
      <c r="J277">
        <f t="shared" si="53"/>
        <v>0</v>
      </c>
      <c r="K277">
        <f t="shared" si="54"/>
        <v>1.0011070456397422</v>
      </c>
      <c r="L277">
        <f t="shared" si="55"/>
        <v>0</v>
      </c>
      <c r="M277" s="4">
        <f t="shared" si="56"/>
        <v>0</v>
      </c>
      <c r="N277">
        <f t="shared" si="57"/>
        <v>0</v>
      </c>
      <c r="O277" cm="1">
        <f t="array" ref="O277:Q277">_xlfn.XLOOKUP(C277, X$2:X$7, AG$2:AI$7)</f>
        <v>5.0900000000000001E-2</v>
      </c>
      <c r="P277">
        <v>-3.9</v>
      </c>
      <c r="Q277">
        <v>73.900000000000006</v>
      </c>
      <c r="R277">
        <f t="shared" si="58"/>
        <v>83.438632800000036</v>
      </c>
      <c r="S277" s="4">
        <f t="shared" si="59"/>
        <v>1</v>
      </c>
      <c r="T277">
        <f t="shared" si="60"/>
        <v>-1</v>
      </c>
      <c r="U277">
        <f t="shared" si="61"/>
        <v>-1</v>
      </c>
      <c r="AB277" s="3"/>
    </row>
    <row r="278" spans="1:28">
      <c r="A278" t="s">
        <v>539</v>
      </c>
      <c r="B278" t="s">
        <v>98</v>
      </c>
      <c r="C278" t="s">
        <v>586</v>
      </c>
      <c r="D278" s="1">
        <v>107.9</v>
      </c>
      <c r="E278" s="1">
        <f t="shared" si="50"/>
        <v>73</v>
      </c>
      <c r="F278">
        <v>15</v>
      </c>
      <c r="G278" s="1">
        <v>134</v>
      </c>
      <c r="H278">
        <f t="shared" si="51"/>
        <v>-58</v>
      </c>
      <c r="I278">
        <f t="shared" si="52"/>
        <v>-3.4117647058823528</v>
      </c>
      <c r="J278">
        <f t="shared" si="53"/>
        <v>0</v>
      </c>
      <c r="K278">
        <f t="shared" si="54"/>
        <v>1.0011070456397422</v>
      </c>
      <c r="L278">
        <f t="shared" si="55"/>
        <v>0</v>
      </c>
      <c r="M278" s="4">
        <f t="shared" si="56"/>
        <v>0</v>
      </c>
      <c r="N278">
        <f t="shared" si="57"/>
        <v>0</v>
      </c>
      <c r="O278" cm="1">
        <f t="array" ref="O278:Q278">_xlfn.XLOOKUP(C278, X$2:X$7, AG$2:AI$7)</f>
        <v>5.0900000000000001E-2</v>
      </c>
      <c r="P278">
        <v>-3.9</v>
      </c>
      <c r="Q278">
        <v>73.900000000000006</v>
      </c>
      <c r="R278">
        <f t="shared" si="58"/>
        <v>542.95888680000007</v>
      </c>
      <c r="S278" s="4">
        <f t="shared" si="59"/>
        <v>1</v>
      </c>
      <c r="T278">
        <f t="shared" si="60"/>
        <v>-1</v>
      </c>
      <c r="U278">
        <f t="shared" si="61"/>
        <v>-1</v>
      </c>
      <c r="AB278" s="3"/>
    </row>
    <row r="279" spans="1:28">
      <c r="A279" t="s">
        <v>620</v>
      </c>
      <c r="B279" t="s">
        <v>98</v>
      </c>
      <c r="C279" t="s">
        <v>729</v>
      </c>
      <c r="D279" s="1">
        <v>99</v>
      </c>
      <c r="E279" s="1">
        <f t="shared" si="50"/>
        <v>82.5</v>
      </c>
      <c r="F279">
        <v>67.5</v>
      </c>
      <c r="G279" s="1">
        <v>34</v>
      </c>
      <c r="H279">
        <f t="shared" si="51"/>
        <v>-15</v>
      </c>
      <c r="I279">
        <f t="shared" si="52"/>
        <v>-0.88235294117647056</v>
      </c>
      <c r="J279">
        <f t="shared" si="53"/>
        <v>0</v>
      </c>
      <c r="K279">
        <f t="shared" si="54"/>
        <v>1.0909252297006058</v>
      </c>
      <c r="L279">
        <f t="shared" si="55"/>
        <v>0</v>
      </c>
      <c r="M279" s="4">
        <f t="shared" si="56"/>
        <v>0</v>
      </c>
      <c r="N279">
        <f t="shared" si="57"/>
        <v>0</v>
      </c>
      <c r="O279" cm="1">
        <f t="array" ref="O279:Q279">_xlfn.XLOOKUP(C279, X$2:X$7, AG$2:AI$7)</f>
        <v>55.4</v>
      </c>
      <c r="P279">
        <v>-0.253</v>
      </c>
      <c r="Q279">
        <v>0</v>
      </c>
      <c r="R279">
        <f t="shared" si="58"/>
        <v>1.1878989198814985E-2</v>
      </c>
      <c r="S279" s="4">
        <f t="shared" si="59"/>
        <v>1</v>
      </c>
      <c r="T279">
        <f t="shared" si="60"/>
        <v>-1</v>
      </c>
      <c r="U279">
        <f t="shared" si="61"/>
        <v>-1</v>
      </c>
      <c r="AB279" s="3"/>
    </row>
    <row r="280" spans="1:28">
      <c r="A280" t="s">
        <v>650</v>
      </c>
      <c r="B280" t="s">
        <v>98</v>
      </c>
      <c r="C280" t="s">
        <v>729</v>
      </c>
      <c r="D280" s="1">
        <v>99</v>
      </c>
      <c r="E280" s="1">
        <f t="shared" si="50"/>
        <v>82.5</v>
      </c>
      <c r="F280">
        <v>27.1</v>
      </c>
      <c r="G280" s="1">
        <v>64</v>
      </c>
      <c r="H280">
        <f t="shared" si="51"/>
        <v>-55.4</v>
      </c>
      <c r="I280">
        <f t="shared" si="52"/>
        <v>-3.2588235294117647</v>
      </c>
      <c r="J280">
        <f t="shared" si="53"/>
        <v>0</v>
      </c>
      <c r="K280">
        <f t="shared" si="54"/>
        <v>1.0909252297006058</v>
      </c>
      <c r="L280">
        <f t="shared" si="55"/>
        <v>0</v>
      </c>
      <c r="M280" s="4">
        <f t="shared" si="56"/>
        <v>0</v>
      </c>
      <c r="N280">
        <f t="shared" si="57"/>
        <v>0</v>
      </c>
      <c r="O280" cm="1">
        <f t="array" ref="O280:Q280">_xlfn.XLOOKUP(C280, X$2:X$7, AG$2:AI$7)</f>
        <v>55.4</v>
      </c>
      <c r="P280">
        <v>-0.253</v>
      </c>
      <c r="Q280">
        <v>0</v>
      </c>
      <c r="R280">
        <f t="shared" si="58"/>
        <v>6.0046039802463499E-6</v>
      </c>
      <c r="S280" s="4">
        <f t="shared" si="59"/>
        <v>1</v>
      </c>
      <c r="T280">
        <f t="shared" si="60"/>
        <v>-1</v>
      </c>
      <c r="U280">
        <f t="shared" si="61"/>
        <v>-1</v>
      </c>
      <c r="AB280" s="3"/>
    </row>
    <row r="281" spans="1:28">
      <c r="A281" t="s">
        <v>714</v>
      </c>
      <c r="B281" t="s">
        <v>98</v>
      </c>
      <c r="C281" t="s">
        <v>729</v>
      </c>
      <c r="D281" s="1">
        <v>99</v>
      </c>
      <c r="E281" s="1">
        <f t="shared" si="50"/>
        <v>82.5</v>
      </c>
      <c r="F281">
        <v>6.2</v>
      </c>
      <c r="G281" s="1">
        <v>130</v>
      </c>
      <c r="H281">
        <f t="shared" si="51"/>
        <v>-76.3</v>
      </c>
      <c r="I281">
        <f t="shared" si="52"/>
        <v>-4.4882352941176471</v>
      </c>
      <c r="J281">
        <f t="shared" si="53"/>
        <v>0</v>
      </c>
      <c r="K281">
        <f t="shared" si="54"/>
        <v>1.0909252297006058</v>
      </c>
      <c r="L281">
        <f t="shared" si="55"/>
        <v>0</v>
      </c>
      <c r="M281" s="4">
        <f t="shared" si="56"/>
        <v>0</v>
      </c>
      <c r="N281">
        <f t="shared" si="57"/>
        <v>0</v>
      </c>
      <c r="O281" cm="1">
        <f t="array" ref="O281:Q281">_xlfn.XLOOKUP(C281, X$2:X$7, AG$2:AI$7)</f>
        <v>55.4</v>
      </c>
      <c r="P281">
        <v>-0.253</v>
      </c>
      <c r="Q281">
        <v>0</v>
      </c>
      <c r="R281">
        <f t="shared" si="58"/>
        <v>3.3622895512492862E-13</v>
      </c>
      <c r="S281" s="4">
        <f t="shared" si="59"/>
        <v>1</v>
      </c>
      <c r="T281">
        <f t="shared" si="60"/>
        <v>-1</v>
      </c>
      <c r="U281">
        <f t="shared" si="61"/>
        <v>-1</v>
      </c>
      <c r="AB281" s="3"/>
    </row>
    <row r="282" spans="1:28">
      <c r="A282" t="s">
        <v>252</v>
      </c>
      <c r="B282" t="s">
        <v>98</v>
      </c>
      <c r="C282" t="s">
        <v>407</v>
      </c>
      <c r="D282" s="1">
        <v>116.9</v>
      </c>
      <c r="E282" s="1">
        <f t="shared" si="50"/>
        <v>93.4</v>
      </c>
      <c r="F282">
        <v>68.099999999999994</v>
      </c>
      <c r="G282" s="1">
        <v>93</v>
      </c>
      <c r="H282">
        <f t="shared" si="51"/>
        <v>-25.300000000000011</v>
      </c>
      <c r="I282">
        <f t="shared" si="52"/>
        <v>-1.4882352941176478</v>
      </c>
      <c r="J282">
        <f t="shared" si="53"/>
        <v>0</v>
      </c>
      <c r="K282">
        <f t="shared" si="54"/>
        <v>0.94226603101549489</v>
      </c>
      <c r="L282">
        <f t="shared" si="55"/>
        <v>0</v>
      </c>
      <c r="M282" s="4">
        <f t="shared" si="56"/>
        <v>0</v>
      </c>
      <c r="N282">
        <f t="shared" si="57"/>
        <v>0</v>
      </c>
      <c r="O282" cm="1">
        <f t="array" ref="O282:Q282">_xlfn.XLOOKUP(C282, X$2:X$7, AG$2:AI$7)</f>
        <v>57.8</v>
      </c>
      <c r="P282">
        <v>-6.4299999999999996E-2</v>
      </c>
      <c r="Q282">
        <v>0</v>
      </c>
      <c r="R282">
        <f t="shared" si="58"/>
        <v>0.17059296680296709</v>
      </c>
      <c r="S282" s="4">
        <f t="shared" si="59"/>
        <v>1</v>
      </c>
      <c r="T282">
        <f t="shared" si="60"/>
        <v>-1</v>
      </c>
      <c r="U282">
        <f t="shared" si="61"/>
        <v>-1</v>
      </c>
      <c r="AB282" s="3"/>
    </row>
    <row r="283" spans="1:28">
      <c r="A283" t="s">
        <v>255</v>
      </c>
      <c r="B283" t="s">
        <v>98</v>
      </c>
      <c r="C283" t="s">
        <v>407</v>
      </c>
      <c r="D283" s="1">
        <v>116.9</v>
      </c>
      <c r="E283" s="1">
        <f t="shared" si="50"/>
        <v>93.4</v>
      </c>
      <c r="F283">
        <v>66.8</v>
      </c>
      <c r="G283" s="1">
        <v>96</v>
      </c>
      <c r="H283">
        <f t="shared" si="51"/>
        <v>-26.600000000000009</v>
      </c>
      <c r="I283">
        <f t="shared" si="52"/>
        <v>-1.5647058823529416</v>
      </c>
      <c r="J283">
        <f t="shared" si="53"/>
        <v>0</v>
      </c>
      <c r="K283">
        <f t="shared" si="54"/>
        <v>0.94226603101549489</v>
      </c>
      <c r="L283">
        <f t="shared" si="55"/>
        <v>0</v>
      </c>
      <c r="M283" s="4">
        <f t="shared" si="56"/>
        <v>0</v>
      </c>
      <c r="N283">
        <f t="shared" si="57"/>
        <v>0</v>
      </c>
      <c r="O283" cm="1">
        <f t="array" ref="O283:Q283">_xlfn.XLOOKUP(C283, X$2:X$7, AG$2:AI$7)</f>
        <v>57.8</v>
      </c>
      <c r="P283">
        <v>-6.4299999999999996E-2</v>
      </c>
      <c r="Q283">
        <v>0</v>
      </c>
      <c r="R283">
        <f t="shared" si="58"/>
        <v>0.14066489182983966</v>
      </c>
      <c r="S283" s="4">
        <f t="shared" si="59"/>
        <v>1</v>
      </c>
      <c r="T283">
        <f t="shared" si="60"/>
        <v>-1</v>
      </c>
      <c r="U283">
        <f t="shared" si="61"/>
        <v>-1</v>
      </c>
      <c r="AB283" s="3"/>
    </row>
    <row r="284" spans="1:28">
      <c r="A284" t="s">
        <v>297</v>
      </c>
      <c r="B284" t="s">
        <v>98</v>
      </c>
      <c r="C284" t="s">
        <v>407</v>
      </c>
      <c r="D284" s="1">
        <v>116.9</v>
      </c>
      <c r="E284" s="1">
        <f t="shared" si="50"/>
        <v>93.4</v>
      </c>
      <c r="F284">
        <v>28.6</v>
      </c>
      <c r="G284" s="1">
        <v>138</v>
      </c>
      <c r="H284">
        <f t="shared" si="51"/>
        <v>-64.800000000000011</v>
      </c>
      <c r="I284">
        <f t="shared" si="52"/>
        <v>-3.8117647058823536</v>
      </c>
      <c r="J284">
        <f t="shared" si="53"/>
        <v>0</v>
      </c>
      <c r="K284">
        <f t="shared" si="54"/>
        <v>0.94226603101549489</v>
      </c>
      <c r="L284">
        <f t="shared" si="55"/>
        <v>0</v>
      </c>
      <c r="M284" s="4">
        <f t="shared" si="56"/>
        <v>0</v>
      </c>
      <c r="N284">
        <f t="shared" si="57"/>
        <v>0</v>
      </c>
      <c r="O284" cm="1">
        <f t="array" ref="O284:Q284">_xlfn.XLOOKUP(C284, X$2:X$7, AG$2:AI$7)</f>
        <v>57.8</v>
      </c>
      <c r="P284">
        <v>-6.4299999999999996E-2</v>
      </c>
      <c r="Q284">
        <v>0</v>
      </c>
      <c r="R284">
        <f t="shared" si="58"/>
        <v>9.4477858074797014E-3</v>
      </c>
      <c r="S284" s="4">
        <f t="shared" si="59"/>
        <v>1</v>
      </c>
      <c r="T284">
        <f t="shared" si="60"/>
        <v>-1</v>
      </c>
      <c r="U284">
        <f t="shared" si="61"/>
        <v>-1</v>
      </c>
      <c r="AB284" s="3"/>
    </row>
    <row r="285" spans="1:28">
      <c r="A285" t="s">
        <v>369</v>
      </c>
      <c r="B285" t="s">
        <v>98</v>
      </c>
      <c r="C285" t="s">
        <v>407</v>
      </c>
      <c r="D285" s="1">
        <v>116.9</v>
      </c>
      <c r="E285" s="1">
        <f t="shared" si="50"/>
        <v>93.4</v>
      </c>
      <c r="F285">
        <v>7.5</v>
      </c>
      <c r="G285" s="1">
        <v>210</v>
      </c>
      <c r="H285">
        <f t="shared" si="51"/>
        <v>-85.9</v>
      </c>
      <c r="I285">
        <f t="shared" si="52"/>
        <v>-5.0529411764705889</v>
      </c>
      <c r="J285">
        <f t="shared" si="53"/>
        <v>0</v>
      </c>
      <c r="K285">
        <f t="shared" si="54"/>
        <v>0.94226603101549489</v>
      </c>
      <c r="L285">
        <f t="shared" si="55"/>
        <v>0</v>
      </c>
      <c r="M285" s="4">
        <f t="shared" si="56"/>
        <v>0</v>
      </c>
      <c r="N285">
        <f t="shared" si="57"/>
        <v>0</v>
      </c>
      <c r="O285" cm="1">
        <f t="array" ref="O285:Q285">_xlfn.XLOOKUP(C285, X$2:X$7, AG$2:AI$7)</f>
        <v>57.8</v>
      </c>
      <c r="P285">
        <v>-6.4299999999999996E-2</v>
      </c>
      <c r="Q285">
        <v>0</v>
      </c>
      <c r="R285">
        <f t="shared" si="58"/>
        <v>9.2197746326192997E-5</v>
      </c>
      <c r="S285" s="4">
        <f t="shared" si="59"/>
        <v>1</v>
      </c>
      <c r="T285">
        <f t="shared" si="60"/>
        <v>-1</v>
      </c>
      <c r="U285">
        <f t="shared" si="61"/>
        <v>-1</v>
      </c>
      <c r="AB285" s="3"/>
    </row>
    <row r="286" spans="1:28">
      <c r="A286" t="s">
        <v>109</v>
      </c>
      <c r="B286" t="s">
        <v>102</v>
      </c>
      <c r="C286" t="s">
        <v>159</v>
      </c>
      <c r="D286" s="1">
        <v>228</v>
      </c>
      <c r="E286" s="1">
        <f t="shared" si="50"/>
        <v>190</v>
      </c>
      <c r="F286">
        <v>43.4</v>
      </c>
      <c r="G286" s="1">
        <v>39</v>
      </c>
      <c r="H286">
        <f t="shared" si="51"/>
        <v>-146.6</v>
      </c>
      <c r="I286">
        <f t="shared" si="52"/>
        <v>-8.6235294117647054</v>
      </c>
      <c r="J286">
        <f t="shared" si="53"/>
        <v>0</v>
      </c>
      <c r="K286">
        <f t="shared" si="54"/>
        <v>0.57566309754037293</v>
      </c>
      <c r="L286">
        <f t="shared" si="55"/>
        <v>0</v>
      </c>
      <c r="M286" s="4">
        <f t="shared" si="56"/>
        <v>0</v>
      </c>
      <c r="N286">
        <f t="shared" si="57"/>
        <v>0</v>
      </c>
      <c r="O286" cm="1">
        <f t="array" ref="O286:Q286">_xlfn.XLOOKUP(C286, X$2:X$7, AG$2:AI$7)</f>
        <v>56.4</v>
      </c>
      <c r="P286">
        <v>-0.16300000000000001</v>
      </c>
      <c r="Q286">
        <v>0</v>
      </c>
      <c r="R286">
        <f t="shared" si="58"/>
        <v>0.11416682898397089</v>
      </c>
      <c r="S286" s="4">
        <f t="shared" si="59"/>
        <v>1</v>
      </c>
      <c r="T286">
        <f t="shared" si="60"/>
        <v>-1</v>
      </c>
      <c r="U286">
        <f t="shared" si="61"/>
        <v>-1</v>
      </c>
      <c r="AB286" s="3"/>
    </row>
    <row r="287" spans="1:28">
      <c r="A287" t="s">
        <v>550</v>
      </c>
      <c r="B287" t="s">
        <v>102</v>
      </c>
      <c r="C287" t="s">
        <v>586</v>
      </c>
      <c r="D287" s="1">
        <v>107.9</v>
      </c>
      <c r="E287" s="1">
        <f t="shared" si="50"/>
        <v>73</v>
      </c>
      <c r="F287">
        <v>10.7</v>
      </c>
      <c r="G287" s="1">
        <v>145</v>
      </c>
      <c r="H287">
        <f t="shared" si="51"/>
        <v>-62.3</v>
      </c>
      <c r="I287">
        <f t="shared" si="52"/>
        <v>-3.664705882352941</v>
      </c>
      <c r="J287">
        <f t="shared" si="53"/>
        <v>0</v>
      </c>
      <c r="K287">
        <f t="shared" si="54"/>
        <v>1.0011070456397422</v>
      </c>
      <c r="L287">
        <f t="shared" si="55"/>
        <v>0</v>
      </c>
      <c r="M287" s="4">
        <f t="shared" si="56"/>
        <v>0</v>
      </c>
      <c r="N287">
        <f t="shared" si="57"/>
        <v>0</v>
      </c>
      <c r="O287" cm="1">
        <f t="array" ref="O287:Q287">_xlfn.XLOOKUP(C287, X$2:X$7, AG$2:AI$7)</f>
        <v>5.0900000000000001E-2</v>
      </c>
      <c r="P287">
        <v>-3.9</v>
      </c>
      <c r="Q287">
        <v>73.900000000000006</v>
      </c>
      <c r="R287">
        <f t="shared" si="58"/>
        <v>675.1941075000002</v>
      </c>
      <c r="S287" s="4">
        <f t="shared" si="59"/>
        <v>1</v>
      </c>
      <c r="T287">
        <f t="shared" si="60"/>
        <v>-1</v>
      </c>
      <c r="U287">
        <f t="shared" si="61"/>
        <v>-1</v>
      </c>
      <c r="AB287" s="3"/>
    </row>
    <row r="288" spans="1:28">
      <c r="A288" t="s">
        <v>563</v>
      </c>
      <c r="B288" t="s">
        <v>102</v>
      </c>
      <c r="C288" t="s">
        <v>586</v>
      </c>
      <c r="D288" s="1">
        <v>107.9</v>
      </c>
      <c r="E288" s="1">
        <f t="shared" si="50"/>
        <v>73</v>
      </c>
      <c r="F288">
        <v>8.3000000000000007</v>
      </c>
      <c r="G288" s="1">
        <v>158</v>
      </c>
      <c r="H288">
        <f t="shared" si="51"/>
        <v>-64.7</v>
      </c>
      <c r="I288">
        <f t="shared" si="52"/>
        <v>-3.8058823529411767</v>
      </c>
      <c r="J288">
        <f t="shared" si="53"/>
        <v>0</v>
      </c>
      <c r="K288">
        <f t="shared" si="54"/>
        <v>1.0011070456397422</v>
      </c>
      <c r="L288">
        <f t="shared" si="55"/>
        <v>0</v>
      </c>
      <c r="M288" s="4">
        <f t="shared" si="56"/>
        <v>0</v>
      </c>
      <c r="N288">
        <f t="shared" si="57"/>
        <v>0</v>
      </c>
      <c r="O288" cm="1">
        <f t="array" ref="O288:Q288">_xlfn.XLOOKUP(C288, X$2:X$7, AG$2:AI$7)</f>
        <v>5.0900000000000001E-2</v>
      </c>
      <c r="P288">
        <v>-3.9</v>
      </c>
      <c r="Q288">
        <v>73.900000000000006</v>
      </c>
      <c r="R288">
        <f t="shared" si="58"/>
        <v>850.00498920000007</v>
      </c>
      <c r="S288" s="4">
        <f t="shared" si="59"/>
        <v>1</v>
      </c>
      <c r="T288">
        <f t="shared" si="60"/>
        <v>-1</v>
      </c>
      <c r="U288">
        <f t="shared" si="61"/>
        <v>-1</v>
      </c>
      <c r="AB288" s="3"/>
    </row>
    <row r="289" spans="1:21">
      <c r="A289" t="s">
        <v>572</v>
      </c>
      <c r="B289" t="s">
        <v>102</v>
      </c>
      <c r="C289" t="s">
        <v>586</v>
      </c>
      <c r="D289" s="1">
        <v>107.9</v>
      </c>
      <c r="E289" s="1">
        <f t="shared" si="50"/>
        <v>73</v>
      </c>
      <c r="F289">
        <v>5.0999999999999996</v>
      </c>
      <c r="G289" s="1">
        <v>167</v>
      </c>
      <c r="H289">
        <f t="shared" si="51"/>
        <v>-67.900000000000006</v>
      </c>
      <c r="I289">
        <f t="shared" si="52"/>
        <v>-3.994117647058824</v>
      </c>
      <c r="J289">
        <f t="shared" si="53"/>
        <v>0</v>
      </c>
      <c r="K289">
        <f t="shared" si="54"/>
        <v>1.0011070456397422</v>
      </c>
      <c r="L289">
        <f t="shared" si="55"/>
        <v>0</v>
      </c>
      <c r="M289" s="4">
        <f t="shared" si="56"/>
        <v>0</v>
      </c>
      <c r="N289">
        <f t="shared" si="57"/>
        <v>0</v>
      </c>
      <c r="O289" cm="1">
        <f t="array" ref="O289:Q289">_xlfn.XLOOKUP(C289, X$2:X$7, AG$2:AI$7)</f>
        <v>5.0900000000000001E-2</v>
      </c>
      <c r="P289">
        <v>-3.9</v>
      </c>
      <c r="Q289">
        <v>73.900000000000006</v>
      </c>
      <c r="R289">
        <f t="shared" si="58"/>
        <v>982.78916670000001</v>
      </c>
      <c r="S289" s="4">
        <f t="shared" si="59"/>
        <v>1</v>
      </c>
      <c r="T289">
        <f t="shared" si="60"/>
        <v>-1</v>
      </c>
      <c r="U289">
        <f t="shared" si="61"/>
        <v>-1</v>
      </c>
    </row>
    <row r="290" spans="1:21">
      <c r="A290" t="s">
        <v>579</v>
      </c>
      <c r="B290" t="s">
        <v>102</v>
      </c>
      <c r="C290" t="s">
        <v>586</v>
      </c>
      <c r="D290" s="1">
        <v>107.9</v>
      </c>
      <c r="E290" s="1">
        <f t="shared" si="50"/>
        <v>73</v>
      </c>
      <c r="F290">
        <v>0.2</v>
      </c>
      <c r="G290" s="1">
        <v>174</v>
      </c>
      <c r="H290">
        <f t="shared" si="51"/>
        <v>-72.8</v>
      </c>
      <c r="I290">
        <f t="shared" si="52"/>
        <v>-4.2823529411764705</v>
      </c>
      <c r="J290">
        <f t="shared" si="53"/>
        <v>0</v>
      </c>
      <c r="K290">
        <f t="shared" si="54"/>
        <v>1.0011070456397422</v>
      </c>
      <c r="L290">
        <f t="shared" si="55"/>
        <v>0</v>
      </c>
      <c r="M290" s="4">
        <f t="shared" si="56"/>
        <v>0</v>
      </c>
      <c r="N290">
        <f t="shared" si="57"/>
        <v>0</v>
      </c>
      <c r="O290" cm="1">
        <f t="array" ref="O290:Q290">_xlfn.XLOOKUP(C290, X$2:X$7, AG$2:AI$7)</f>
        <v>5.0900000000000001E-2</v>
      </c>
      <c r="P290">
        <v>-3.9</v>
      </c>
      <c r="Q290">
        <v>73.900000000000006</v>
      </c>
      <c r="R290">
        <f t="shared" si="58"/>
        <v>1092.7185828000001</v>
      </c>
      <c r="S290" s="4">
        <f t="shared" si="59"/>
        <v>1</v>
      </c>
      <c r="T290">
        <f t="shared" si="60"/>
        <v>-1</v>
      </c>
      <c r="U290">
        <f t="shared" si="61"/>
        <v>-1</v>
      </c>
    </row>
    <row r="291" spans="1:21">
      <c r="A291" t="s">
        <v>630</v>
      </c>
      <c r="B291" t="s">
        <v>102</v>
      </c>
      <c r="C291" t="s">
        <v>729</v>
      </c>
      <c r="D291" s="1">
        <v>99</v>
      </c>
      <c r="E291" s="1">
        <f t="shared" si="50"/>
        <v>82.5</v>
      </c>
      <c r="F291">
        <v>39.1</v>
      </c>
      <c r="G291" s="1">
        <v>44</v>
      </c>
      <c r="H291">
        <f t="shared" si="51"/>
        <v>-43.4</v>
      </c>
      <c r="I291">
        <f t="shared" si="52"/>
        <v>-2.552941176470588</v>
      </c>
      <c r="J291">
        <f t="shared" si="53"/>
        <v>0</v>
      </c>
      <c r="K291">
        <f t="shared" si="54"/>
        <v>1.0909252297006058</v>
      </c>
      <c r="L291">
        <f t="shared" si="55"/>
        <v>0</v>
      </c>
      <c r="M291" s="4">
        <f t="shared" si="56"/>
        <v>0</v>
      </c>
      <c r="N291">
        <f t="shared" si="57"/>
        <v>0</v>
      </c>
      <c r="O291" cm="1">
        <f t="array" ref="O291:Q291">_xlfn.XLOOKUP(C291, X$2:X$7, AG$2:AI$7)</f>
        <v>55.4</v>
      </c>
      <c r="P291">
        <v>-0.253</v>
      </c>
      <c r="Q291">
        <v>0</v>
      </c>
      <c r="R291">
        <f t="shared" si="58"/>
        <v>9.4626864156436706E-4</v>
      </c>
      <c r="S291" s="4">
        <f t="shared" si="59"/>
        <v>1</v>
      </c>
      <c r="T291">
        <f t="shared" si="60"/>
        <v>-1</v>
      </c>
      <c r="U291">
        <f t="shared" si="61"/>
        <v>-1</v>
      </c>
    </row>
    <row r="292" spans="1:21">
      <c r="A292" t="s">
        <v>707</v>
      </c>
      <c r="B292" t="s">
        <v>102</v>
      </c>
      <c r="C292" t="s">
        <v>729</v>
      </c>
      <c r="D292" s="1">
        <v>99</v>
      </c>
      <c r="E292" s="1">
        <f t="shared" si="50"/>
        <v>82.5</v>
      </c>
      <c r="F292">
        <v>7.7</v>
      </c>
      <c r="G292" s="1">
        <v>123</v>
      </c>
      <c r="H292">
        <f t="shared" si="51"/>
        <v>-74.8</v>
      </c>
      <c r="I292">
        <f t="shared" si="52"/>
        <v>-4.3999999999999995</v>
      </c>
      <c r="J292">
        <f t="shared" si="53"/>
        <v>0</v>
      </c>
      <c r="K292">
        <f t="shared" si="54"/>
        <v>1.0909252297006058</v>
      </c>
      <c r="L292">
        <f t="shared" si="55"/>
        <v>0</v>
      </c>
      <c r="M292" s="4">
        <f t="shared" si="56"/>
        <v>0</v>
      </c>
      <c r="N292">
        <f t="shared" si="57"/>
        <v>0</v>
      </c>
      <c r="O292" cm="1">
        <f t="array" ref="O292:Q292">_xlfn.XLOOKUP(C292, X$2:X$7, AG$2:AI$7)</f>
        <v>55.4</v>
      </c>
      <c r="P292">
        <v>-0.253</v>
      </c>
      <c r="Q292">
        <v>0</v>
      </c>
      <c r="R292">
        <f t="shared" si="58"/>
        <v>1.9759258295852573E-12</v>
      </c>
      <c r="S292" s="4">
        <f t="shared" si="59"/>
        <v>1</v>
      </c>
      <c r="T292">
        <f t="shared" si="60"/>
        <v>-1</v>
      </c>
      <c r="U292">
        <f t="shared" si="61"/>
        <v>-1</v>
      </c>
    </row>
    <row r="293" spans="1:21">
      <c r="A293" t="s">
        <v>715</v>
      </c>
      <c r="B293" t="s">
        <v>102</v>
      </c>
      <c r="C293" t="s">
        <v>729</v>
      </c>
      <c r="D293" s="1">
        <v>99</v>
      </c>
      <c r="E293" s="1">
        <f t="shared" si="50"/>
        <v>82.5</v>
      </c>
      <c r="F293">
        <v>6.1</v>
      </c>
      <c r="G293" s="1">
        <v>131</v>
      </c>
      <c r="H293">
        <f t="shared" si="51"/>
        <v>-76.400000000000006</v>
      </c>
      <c r="I293">
        <f t="shared" si="52"/>
        <v>-4.4941176470588236</v>
      </c>
      <c r="J293">
        <f t="shared" si="53"/>
        <v>0</v>
      </c>
      <c r="K293">
        <f t="shared" si="54"/>
        <v>1.0909252297006058</v>
      </c>
      <c r="L293">
        <f t="shared" si="55"/>
        <v>0</v>
      </c>
      <c r="M293" s="4">
        <f t="shared" si="56"/>
        <v>0</v>
      </c>
      <c r="N293">
        <f t="shared" si="57"/>
        <v>0</v>
      </c>
      <c r="O293" cm="1">
        <f t="array" ref="O293:Q293">_xlfn.XLOOKUP(C293, X$2:X$7, AG$2:AI$7)</f>
        <v>55.4</v>
      </c>
      <c r="P293">
        <v>-0.253</v>
      </c>
      <c r="Q293">
        <v>0</v>
      </c>
      <c r="R293">
        <f t="shared" si="58"/>
        <v>2.6107098459366192E-13</v>
      </c>
      <c r="S293" s="4">
        <f t="shared" si="59"/>
        <v>1</v>
      </c>
      <c r="T293">
        <f t="shared" si="60"/>
        <v>-1</v>
      </c>
      <c r="U293">
        <f t="shared" si="61"/>
        <v>-1</v>
      </c>
    </row>
    <row r="294" spans="1:21">
      <c r="A294" t="s">
        <v>717</v>
      </c>
      <c r="B294" t="s">
        <v>102</v>
      </c>
      <c r="C294" t="s">
        <v>729</v>
      </c>
      <c r="D294" s="1">
        <v>99</v>
      </c>
      <c r="E294" s="1">
        <f t="shared" si="50"/>
        <v>82.5</v>
      </c>
      <c r="F294">
        <v>5.8</v>
      </c>
      <c r="G294" s="1">
        <v>133</v>
      </c>
      <c r="H294">
        <f t="shared" si="51"/>
        <v>-76.7</v>
      </c>
      <c r="I294">
        <f t="shared" si="52"/>
        <v>-4.5117647058823529</v>
      </c>
      <c r="J294">
        <f t="shared" si="53"/>
        <v>0</v>
      </c>
      <c r="K294">
        <f t="shared" si="54"/>
        <v>1.0909252297006058</v>
      </c>
      <c r="L294">
        <f t="shared" si="55"/>
        <v>0</v>
      </c>
      <c r="M294" s="4">
        <f t="shared" si="56"/>
        <v>0</v>
      </c>
      <c r="N294">
        <f t="shared" si="57"/>
        <v>0</v>
      </c>
      <c r="O294" cm="1">
        <f t="array" ref="O294:Q294">_xlfn.XLOOKUP(C294, X$2:X$7, AG$2:AI$7)</f>
        <v>55.4</v>
      </c>
      <c r="P294">
        <v>-0.253</v>
      </c>
      <c r="Q294">
        <v>0</v>
      </c>
      <c r="R294">
        <f t="shared" si="58"/>
        <v>1.5740031574236175E-13</v>
      </c>
      <c r="S294" s="4">
        <f t="shared" si="59"/>
        <v>1</v>
      </c>
      <c r="T294">
        <f t="shared" si="60"/>
        <v>-1</v>
      </c>
      <c r="U294">
        <f t="shared" si="61"/>
        <v>-1</v>
      </c>
    </row>
    <row r="295" spans="1:21">
      <c r="A295" t="s">
        <v>296</v>
      </c>
      <c r="B295" t="s">
        <v>102</v>
      </c>
      <c r="C295" t="s">
        <v>407</v>
      </c>
      <c r="D295" s="1">
        <v>116.9</v>
      </c>
      <c r="E295" s="1">
        <f t="shared" si="50"/>
        <v>93.4</v>
      </c>
      <c r="F295">
        <v>29.1</v>
      </c>
      <c r="G295" s="1">
        <v>137</v>
      </c>
      <c r="H295">
        <f t="shared" si="51"/>
        <v>-64.300000000000011</v>
      </c>
      <c r="I295">
        <f t="shared" si="52"/>
        <v>-3.7823529411764714</v>
      </c>
      <c r="J295">
        <f t="shared" si="53"/>
        <v>0</v>
      </c>
      <c r="K295">
        <f t="shared" si="54"/>
        <v>0.94226603101549489</v>
      </c>
      <c r="L295">
        <f t="shared" si="55"/>
        <v>0</v>
      </c>
      <c r="M295" s="4">
        <f t="shared" si="56"/>
        <v>0</v>
      </c>
      <c r="N295">
        <f t="shared" si="57"/>
        <v>0</v>
      </c>
      <c r="O295" cm="1">
        <f t="array" ref="O295:Q295">_xlfn.XLOOKUP(C295, X$2:X$7, AG$2:AI$7)</f>
        <v>57.8</v>
      </c>
      <c r="P295">
        <v>-6.4299999999999996E-2</v>
      </c>
      <c r="Q295">
        <v>0</v>
      </c>
      <c r="R295">
        <f t="shared" si="58"/>
        <v>1.0075234751566194E-2</v>
      </c>
      <c r="S295" s="4">
        <f t="shared" si="59"/>
        <v>1</v>
      </c>
      <c r="T295">
        <f t="shared" si="60"/>
        <v>-1</v>
      </c>
      <c r="U295">
        <f t="shared" si="61"/>
        <v>-1</v>
      </c>
    </row>
    <row r="296" spans="1:21">
      <c r="A296" t="s">
        <v>325</v>
      </c>
      <c r="B296" t="s">
        <v>102</v>
      </c>
      <c r="C296" t="s">
        <v>407</v>
      </c>
      <c r="D296" s="1">
        <v>116.9</v>
      </c>
      <c r="E296" s="1">
        <f t="shared" si="50"/>
        <v>93.4</v>
      </c>
      <c r="F296">
        <v>15.8</v>
      </c>
      <c r="G296" s="1">
        <v>166</v>
      </c>
      <c r="H296">
        <f t="shared" si="51"/>
        <v>-77.600000000000009</v>
      </c>
      <c r="I296">
        <f t="shared" si="52"/>
        <v>-4.5647058823529418</v>
      </c>
      <c r="J296">
        <f t="shared" si="53"/>
        <v>0</v>
      </c>
      <c r="K296">
        <f t="shared" si="54"/>
        <v>0.94226603101549489</v>
      </c>
      <c r="L296">
        <f t="shared" si="55"/>
        <v>0</v>
      </c>
      <c r="M296" s="4">
        <f t="shared" si="56"/>
        <v>0</v>
      </c>
      <c r="N296">
        <f t="shared" si="57"/>
        <v>0</v>
      </c>
      <c r="O296" cm="1">
        <f t="array" ref="O296:Q296">_xlfn.XLOOKUP(C296, X$2:X$7, AG$2:AI$7)</f>
        <v>57.8</v>
      </c>
      <c r="P296">
        <v>-6.4299999999999996E-2</v>
      </c>
      <c r="Q296">
        <v>0</v>
      </c>
      <c r="R296">
        <f t="shared" si="58"/>
        <v>1.561083931656049E-3</v>
      </c>
      <c r="S296" s="4">
        <f t="shared" si="59"/>
        <v>1</v>
      </c>
      <c r="T296">
        <f t="shared" si="60"/>
        <v>-1</v>
      </c>
      <c r="U296">
        <f t="shared" si="61"/>
        <v>-1</v>
      </c>
    </row>
    <row r="297" spans="1:21">
      <c r="A297" t="s">
        <v>389</v>
      </c>
      <c r="B297" t="s">
        <v>102</v>
      </c>
      <c r="C297" t="s">
        <v>407</v>
      </c>
      <c r="D297" s="1">
        <v>116.9</v>
      </c>
      <c r="E297" s="1">
        <f t="shared" si="50"/>
        <v>93.4</v>
      </c>
      <c r="F297">
        <v>5.6</v>
      </c>
      <c r="G297" s="1">
        <v>230</v>
      </c>
      <c r="H297">
        <f t="shared" si="51"/>
        <v>-87.800000000000011</v>
      </c>
      <c r="I297">
        <f t="shared" si="52"/>
        <v>-5.1647058823529415</v>
      </c>
      <c r="J297">
        <f t="shared" si="53"/>
        <v>0</v>
      </c>
      <c r="K297">
        <f t="shared" si="54"/>
        <v>0.94226603101549489</v>
      </c>
      <c r="L297">
        <f t="shared" si="55"/>
        <v>0</v>
      </c>
      <c r="M297" s="4">
        <f t="shared" si="56"/>
        <v>0</v>
      </c>
      <c r="N297">
        <f t="shared" si="57"/>
        <v>0</v>
      </c>
      <c r="O297" cm="1">
        <f t="array" ref="O297:Q297">_xlfn.XLOOKUP(C297, X$2:X$7, AG$2:AI$7)</f>
        <v>57.8</v>
      </c>
      <c r="P297">
        <v>-6.4299999999999996E-2</v>
      </c>
      <c r="Q297">
        <v>0</v>
      </c>
      <c r="R297">
        <f t="shared" si="58"/>
        <v>2.5481066519393328E-5</v>
      </c>
      <c r="S297" s="4">
        <f t="shared" si="59"/>
        <v>1</v>
      </c>
      <c r="T297">
        <f t="shared" si="60"/>
        <v>-1</v>
      </c>
      <c r="U297">
        <f t="shared" si="61"/>
        <v>-1</v>
      </c>
    </row>
    <row r="298" spans="1:21">
      <c r="A298" t="s">
        <v>119</v>
      </c>
      <c r="B298" t="s">
        <v>46</v>
      </c>
      <c r="C298" t="s">
        <v>159</v>
      </c>
      <c r="D298" s="1">
        <v>228</v>
      </c>
      <c r="E298" s="1">
        <f t="shared" si="50"/>
        <v>190</v>
      </c>
      <c r="F298">
        <v>22.9</v>
      </c>
      <c r="G298" s="1">
        <v>49</v>
      </c>
      <c r="H298">
        <f t="shared" si="51"/>
        <v>-167.1</v>
      </c>
      <c r="I298">
        <f t="shared" si="52"/>
        <v>-9.8294117647058812</v>
      </c>
      <c r="J298">
        <f t="shared" si="53"/>
        <v>0</v>
      </c>
      <c r="K298">
        <f t="shared" si="54"/>
        <v>0.57566309754037293</v>
      </c>
      <c r="L298">
        <f t="shared" si="55"/>
        <v>0</v>
      </c>
      <c r="M298" s="4">
        <f t="shared" si="56"/>
        <v>0</v>
      </c>
      <c r="N298">
        <f t="shared" si="57"/>
        <v>0</v>
      </c>
      <c r="O298" cm="1">
        <f t="array" ref="O298:Q298">_xlfn.XLOOKUP(C298, X$2:X$7, AG$2:AI$7)</f>
        <v>56.4</v>
      </c>
      <c r="P298">
        <v>-0.16300000000000001</v>
      </c>
      <c r="Q298">
        <v>0</v>
      </c>
      <c r="R298">
        <f t="shared" si="58"/>
        <v>2.2368658182249111E-2</v>
      </c>
      <c r="S298" s="4">
        <f t="shared" si="59"/>
        <v>1</v>
      </c>
      <c r="T298">
        <f t="shared" si="60"/>
        <v>-1</v>
      </c>
      <c r="U298">
        <f t="shared" si="61"/>
        <v>-1</v>
      </c>
    </row>
    <row r="299" spans="1:21">
      <c r="A299" t="s">
        <v>158</v>
      </c>
      <c r="B299" t="s">
        <v>46</v>
      </c>
      <c r="C299" t="s">
        <v>159</v>
      </c>
      <c r="D299" s="1">
        <v>228</v>
      </c>
      <c r="E299" s="1">
        <f t="shared" si="50"/>
        <v>190</v>
      </c>
      <c r="F299">
        <v>0</v>
      </c>
      <c r="G299" s="1">
        <v>88</v>
      </c>
      <c r="H299">
        <f t="shared" si="51"/>
        <v>-190</v>
      </c>
      <c r="I299">
        <f t="shared" si="52"/>
        <v>-11.176470588235293</v>
      </c>
      <c r="J299">
        <f t="shared" si="53"/>
        <v>0</v>
      </c>
      <c r="K299">
        <f t="shared" si="54"/>
        <v>0.57566309754037293</v>
      </c>
      <c r="L299">
        <f t="shared" si="55"/>
        <v>0</v>
      </c>
      <c r="M299" s="4">
        <f t="shared" si="56"/>
        <v>0</v>
      </c>
      <c r="N299">
        <f t="shared" si="57"/>
        <v>0</v>
      </c>
      <c r="O299" cm="1">
        <f t="array" ref="O299:Q299">_xlfn.XLOOKUP(C299, X$2:X$7, AG$2:AI$7)</f>
        <v>56.4</v>
      </c>
      <c r="P299">
        <v>-0.16300000000000001</v>
      </c>
      <c r="Q299">
        <v>0</v>
      </c>
      <c r="R299">
        <f t="shared" si="58"/>
        <v>3.8799837938305371E-5</v>
      </c>
      <c r="S299" s="4">
        <f t="shared" si="59"/>
        <v>1</v>
      </c>
      <c r="T299">
        <f t="shared" si="60"/>
        <v>-1</v>
      </c>
      <c r="U299">
        <f t="shared" si="61"/>
        <v>-1</v>
      </c>
    </row>
    <row r="300" spans="1:21">
      <c r="A300" t="s">
        <v>491</v>
      </c>
      <c r="B300" t="s">
        <v>46</v>
      </c>
      <c r="C300" t="s">
        <v>586</v>
      </c>
      <c r="D300" s="1">
        <v>107.9</v>
      </c>
      <c r="E300" s="1">
        <f t="shared" si="50"/>
        <v>73</v>
      </c>
      <c r="F300">
        <v>36.5</v>
      </c>
      <c r="G300" s="1">
        <v>84</v>
      </c>
      <c r="H300">
        <f t="shared" si="51"/>
        <v>-36.5</v>
      </c>
      <c r="I300">
        <f t="shared" si="52"/>
        <v>-2.1470588235294117</v>
      </c>
      <c r="J300">
        <f t="shared" si="53"/>
        <v>0</v>
      </c>
      <c r="K300">
        <f t="shared" si="54"/>
        <v>1.0011070456397422</v>
      </c>
      <c r="L300">
        <f t="shared" si="55"/>
        <v>0</v>
      </c>
      <c r="M300" s="4">
        <f t="shared" si="56"/>
        <v>0</v>
      </c>
      <c r="N300">
        <f t="shared" si="57"/>
        <v>0</v>
      </c>
      <c r="O300" cm="1">
        <f t="array" ref="O300:Q300">_xlfn.XLOOKUP(C300, X$2:X$7, AG$2:AI$7)</f>
        <v>5.0900000000000001E-2</v>
      </c>
      <c r="P300">
        <v>-3.9</v>
      </c>
      <c r="Q300">
        <v>73.900000000000006</v>
      </c>
      <c r="R300">
        <f t="shared" si="58"/>
        <v>123.06061680000003</v>
      </c>
      <c r="S300" s="4">
        <f t="shared" si="59"/>
        <v>1</v>
      </c>
      <c r="T300">
        <f t="shared" si="60"/>
        <v>-1</v>
      </c>
      <c r="U300">
        <f t="shared" si="61"/>
        <v>-1</v>
      </c>
    </row>
    <row r="301" spans="1:21">
      <c r="A301" t="s">
        <v>531</v>
      </c>
      <c r="B301" t="s">
        <v>46</v>
      </c>
      <c r="C301" t="s">
        <v>586</v>
      </c>
      <c r="D301" s="1">
        <v>107.9</v>
      </c>
      <c r="E301" s="1">
        <f t="shared" si="50"/>
        <v>73</v>
      </c>
      <c r="F301">
        <v>17.5</v>
      </c>
      <c r="G301" s="1">
        <v>125</v>
      </c>
      <c r="H301">
        <f t="shared" si="51"/>
        <v>-55.5</v>
      </c>
      <c r="I301">
        <f t="shared" si="52"/>
        <v>-3.2647058823529411</v>
      </c>
      <c r="J301">
        <f t="shared" si="53"/>
        <v>0</v>
      </c>
      <c r="K301">
        <f t="shared" si="54"/>
        <v>1.0011070456397422</v>
      </c>
      <c r="L301">
        <f t="shared" si="55"/>
        <v>0</v>
      </c>
      <c r="M301" s="4">
        <f t="shared" si="56"/>
        <v>0</v>
      </c>
      <c r="N301">
        <f t="shared" si="57"/>
        <v>0</v>
      </c>
      <c r="O301" cm="1">
        <f t="array" ref="O301:Q301">_xlfn.XLOOKUP(C301, X$2:X$7, AG$2:AI$7)</f>
        <v>5.0900000000000001E-2</v>
      </c>
      <c r="P301">
        <v>-3.9</v>
      </c>
      <c r="Q301">
        <v>73.900000000000006</v>
      </c>
      <c r="R301">
        <f t="shared" si="58"/>
        <v>445.45848749999999</v>
      </c>
      <c r="S301" s="4">
        <f t="shared" si="59"/>
        <v>1</v>
      </c>
      <c r="T301">
        <f t="shared" si="60"/>
        <v>-1</v>
      </c>
      <c r="U301">
        <f t="shared" si="61"/>
        <v>-1</v>
      </c>
    </row>
    <row r="302" spans="1:21">
      <c r="A302" t="s">
        <v>548</v>
      </c>
      <c r="B302" t="s">
        <v>46</v>
      </c>
      <c r="C302" t="s">
        <v>586</v>
      </c>
      <c r="D302" s="1">
        <v>107.9</v>
      </c>
      <c r="E302" s="1">
        <f t="shared" si="50"/>
        <v>73</v>
      </c>
      <c r="F302">
        <v>10.9</v>
      </c>
      <c r="G302" s="1">
        <v>143</v>
      </c>
      <c r="H302">
        <f t="shared" si="51"/>
        <v>-62.1</v>
      </c>
      <c r="I302">
        <f t="shared" si="52"/>
        <v>-3.6529411764705881</v>
      </c>
      <c r="J302">
        <f t="shared" si="53"/>
        <v>0</v>
      </c>
      <c r="K302">
        <f t="shared" si="54"/>
        <v>1.0011070456397422</v>
      </c>
      <c r="L302">
        <f t="shared" si="55"/>
        <v>0</v>
      </c>
      <c r="M302" s="4">
        <f t="shared" si="56"/>
        <v>0</v>
      </c>
      <c r="N302">
        <f t="shared" si="57"/>
        <v>0</v>
      </c>
      <c r="O302" cm="1">
        <f t="array" ref="O302:Q302">_xlfn.XLOOKUP(C302, X$2:X$7, AG$2:AI$7)</f>
        <v>5.0900000000000001E-2</v>
      </c>
      <c r="P302">
        <v>-3.9</v>
      </c>
      <c r="Q302">
        <v>73.900000000000006</v>
      </c>
      <c r="R302">
        <f t="shared" si="58"/>
        <v>650.0821347000001</v>
      </c>
      <c r="S302" s="4">
        <f t="shared" si="59"/>
        <v>1</v>
      </c>
      <c r="T302">
        <f t="shared" si="60"/>
        <v>-1</v>
      </c>
      <c r="U302">
        <f t="shared" si="61"/>
        <v>-1</v>
      </c>
    </row>
    <row r="303" spans="1:21">
      <c r="A303" t="s">
        <v>584</v>
      </c>
      <c r="B303" t="s">
        <v>46</v>
      </c>
      <c r="C303" t="s">
        <v>586</v>
      </c>
      <c r="D303" s="1">
        <v>107.9</v>
      </c>
      <c r="E303" s="1">
        <f t="shared" si="50"/>
        <v>73</v>
      </c>
      <c r="F303">
        <v>0</v>
      </c>
      <c r="G303" s="1">
        <v>179</v>
      </c>
      <c r="H303">
        <f t="shared" si="51"/>
        <v>-73</v>
      </c>
      <c r="I303">
        <f t="shared" si="52"/>
        <v>-4.2941176470588234</v>
      </c>
      <c r="J303">
        <f t="shared" si="53"/>
        <v>0</v>
      </c>
      <c r="K303">
        <f t="shared" si="54"/>
        <v>1.0011070456397422</v>
      </c>
      <c r="L303">
        <f t="shared" si="55"/>
        <v>0</v>
      </c>
      <c r="M303" s="4">
        <f t="shared" si="56"/>
        <v>0</v>
      </c>
      <c r="N303">
        <f t="shared" si="57"/>
        <v>0</v>
      </c>
      <c r="O303" cm="1">
        <f t="array" ref="O303:Q303">_xlfn.XLOOKUP(C303, X$2:X$7, AG$2:AI$7)</f>
        <v>5.0900000000000001E-2</v>
      </c>
      <c r="P303">
        <v>-3.9</v>
      </c>
      <c r="Q303">
        <v>73.900000000000006</v>
      </c>
      <c r="R303">
        <f t="shared" si="58"/>
        <v>1174.8036122999999</v>
      </c>
      <c r="S303" s="4">
        <f t="shared" si="59"/>
        <v>1</v>
      </c>
      <c r="T303">
        <f t="shared" si="60"/>
        <v>-1</v>
      </c>
      <c r="U303">
        <f t="shared" si="61"/>
        <v>-1</v>
      </c>
    </row>
    <row r="304" spans="1:21">
      <c r="A304" t="s">
        <v>623</v>
      </c>
      <c r="B304" t="s">
        <v>46</v>
      </c>
      <c r="C304" t="s">
        <v>729</v>
      </c>
      <c r="D304" s="1">
        <v>99</v>
      </c>
      <c r="E304" s="1">
        <f t="shared" si="50"/>
        <v>82.5</v>
      </c>
      <c r="F304">
        <v>53.2</v>
      </c>
      <c r="G304" s="1">
        <v>37</v>
      </c>
      <c r="H304">
        <f t="shared" si="51"/>
        <v>-29.299999999999997</v>
      </c>
      <c r="I304">
        <f t="shared" si="52"/>
        <v>-1.7235294117647058</v>
      </c>
      <c r="J304">
        <f t="shared" si="53"/>
        <v>0</v>
      </c>
      <c r="K304">
        <f t="shared" si="54"/>
        <v>1.0909252297006058</v>
      </c>
      <c r="L304">
        <f t="shared" si="55"/>
        <v>0</v>
      </c>
      <c r="M304" s="4">
        <f t="shared" si="56"/>
        <v>0</v>
      </c>
      <c r="N304">
        <f t="shared" si="57"/>
        <v>0</v>
      </c>
      <c r="O304" cm="1">
        <f t="array" ref="O304:Q304">_xlfn.XLOOKUP(C304, X$2:X$7, AG$2:AI$7)</f>
        <v>55.4</v>
      </c>
      <c r="P304">
        <v>-0.253</v>
      </c>
      <c r="Q304">
        <v>0</v>
      </c>
      <c r="R304">
        <f t="shared" si="58"/>
        <v>5.560962618162555E-3</v>
      </c>
      <c r="S304" s="4">
        <f t="shared" si="59"/>
        <v>1</v>
      </c>
      <c r="T304">
        <f t="shared" si="60"/>
        <v>-1</v>
      </c>
      <c r="U304">
        <f t="shared" si="61"/>
        <v>-1</v>
      </c>
    </row>
    <row r="305" spans="1:21">
      <c r="A305" t="s">
        <v>656</v>
      </c>
      <c r="B305" t="s">
        <v>46</v>
      </c>
      <c r="C305" t="s">
        <v>729</v>
      </c>
      <c r="D305" s="1">
        <v>99</v>
      </c>
      <c r="E305" s="1">
        <f t="shared" si="50"/>
        <v>82.5</v>
      </c>
      <c r="F305">
        <v>24.8</v>
      </c>
      <c r="G305" s="1">
        <v>70</v>
      </c>
      <c r="H305">
        <f t="shared" si="51"/>
        <v>-57.7</v>
      </c>
      <c r="I305">
        <f t="shared" si="52"/>
        <v>-3.3941176470588239</v>
      </c>
      <c r="J305">
        <f t="shared" si="53"/>
        <v>0</v>
      </c>
      <c r="K305">
        <f t="shared" si="54"/>
        <v>1.0909252297006058</v>
      </c>
      <c r="L305">
        <f t="shared" si="55"/>
        <v>0</v>
      </c>
      <c r="M305" s="4">
        <f t="shared" si="56"/>
        <v>0</v>
      </c>
      <c r="N305">
        <f t="shared" si="57"/>
        <v>0</v>
      </c>
      <c r="O305" cm="1">
        <f t="array" ref="O305:Q305">_xlfn.XLOOKUP(C305, X$2:X$7, AG$2:AI$7)</f>
        <v>55.4</v>
      </c>
      <c r="P305">
        <v>-0.253</v>
      </c>
      <c r="Q305">
        <v>0</v>
      </c>
      <c r="R305">
        <f t="shared" si="58"/>
        <v>1.315907451762746E-6</v>
      </c>
      <c r="S305" s="4">
        <f t="shared" si="59"/>
        <v>1</v>
      </c>
      <c r="T305">
        <f t="shared" si="60"/>
        <v>-1</v>
      </c>
      <c r="U305">
        <f t="shared" si="61"/>
        <v>-1</v>
      </c>
    </row>
    <row r="306" spans="1:21">
      <c r="A306" t="s">
        <v>725</v>
      </c>
      <c r="B306" t="s">
        <v>46</v>
      </c>
      <c r="C306" t="s">
        <v>729</v>
      </c>
      <c r="D306" s="1">
        <v>99</v>
      </c>
      <c r="E306" s="1">
        <f t="shared" si="50"/>
        <v>82.5</v>
      </c>
      <c r="F306">
        <v>0.3</v>
      </c>
      <c r="G306" s="1">
        <v>141</v>
      </c>
      <c r="H306">
        <f t="shared" si="51"/>
        <v>-82.2</v>
      </c>
      <c r="I306">
        <f t="shared" si="52"/>
        <v>-4.8352941176470594</v>
      </c>
      <c r="J306">
        <f t="shared" si="53"/>
        <v>0</v>
      </c>
      <c r="K306">
        <f t="shared" si="54"/>
        <v>1.0909252297006058</v>
      </c>
      <c r="L306">
        <f t="shared" si="55"/>
        <v>0</v>
      </c>
      <c r="M306" s="4">
        <f t="shared" si="56"/>
        <v>0</v>
      </c>
      <c r="N306">
        <f t="shared" si="57"/>
        <v>0</v>
      </c>
      <c r="O306" cm="1">
        <f t="array" ref="O306:Q306">_xlfn.XLOOKUP(C306, X$2:X$7, AG$2:AI$7)</f>
        <v>55.4</v>
      </c>
      <c r="P306">
        <v>-0.253</v>
      </c>
      <c r="Q306">
        <v>0</v>
      </c>
      <c r="R306">
        <f t="shared" si="58"/>
        <v>2.0796658857805858E-14</v>
      </c>
      <c r="S306" s="4">
        <f t="shared" si="59"/>
        <v>1</v>
      </c>
      <c r="T306">
        <f t="shared" si="60"/>
        <v>-1</v>
      </c>
      <c r="U306">
        <f t="shared" si="61"/>
        <v>-1</v>
      </c>
    </row>
    <row r="307" spans="1:21">
      <c r="A307" t="s">
        <v>303</v>
      </c>
      <c r="B307" t="s">
        <v>46</v>
      </c>
      <c r="C307" t="s">
        <v>407</v>
      </c>
      <c r="D307" s="1">
        <v>116.9</v>
      </c>
      <c r="E307" s="1">
        <f t="shared" si="50"/>
        <v>93.4</v>
      </c>
      <c r="F307">
        <v>24.4</v>
      </c>
      <c r="G307" s="1">
        <v>144</v>
      </c>
      <c r="H307">
        <f t="shared" si="51"/>
        <v>-69</v>
      </c>
      <c r="I307">
        <f t="shared" si="52"/>
        <v>-4.0588235294117645</v>
      </c>
      <c r="J307">
        <f t="shared" si="53"/>
        <v>0</v>
      </c>
      <c r="K307">
        <f t="shared" si="54"/>
        <v>0.94226603101549489</v>
      </c>
      <c r="L307">
        <f t="shared" si="55"/>
        <v>0</v>
      </c>
      <c r="M307" s="4">
        <f t="shared" si="56"/>
        <v>0</v>
      </c>
      <c r="N307">
        <f t="shared" si="57"/>
        <v>0</v>
      </c>
      <c r="O307" cm="1">
        <f t="array" ref="O307:Q307">_xlfn.XLOOKUP(C307, X$2:X$7, AG$2:AI$7)</f>
        <v>57.8</v>
      </c>
      <c r="P307">
        <v>-6.4299999999999996E-2</v>
      </c>
      <c r="Q307">
        <v>0</v>
      </c>
      <c r="R307">
        <f t="shared" si="58"/>
        <v>6.4236109185856188E-3</v>
      </c>
      <c r="S307" s="4">
        <f t="shared" si="59"/>
        <v>1</v>
      </c>
      <c r="T307">
        <f t="shared" si="60"/>
        <v>-1</v>
      </c>
      <c r="U307">
        <f t="shared" si="61"/>
        <v>-1</v>
      </c>
    </row>
    <row r="308" spans="1:21">
      <c r="A308" t="s">
        <v>316</v>
      </c>
      <c r="B308" t="s">
        <v>46</v>
      </c>
      <c r="C308" t="s">
        <v>407</v>
      </c>
      <c r="D308" s="1">
        <v>116.9</v>
      </c>
      <c r="E308" s="1">
        <f t="shared" si="50"/>
        <v>93.4</v>
      </c>
      <c r="F308">
        <v>18.2</v>
      </c>
      <c r="G308" s="1">
        <v>157</v>
      </c>
      <c r="H308">
        <f t="shared" si="51"/>
        <v>-75.2</v>
      </c>
      <c r="I308">
        <f t="shared" si="52"/>
        <v>-4.4235294117647062</v>
      </c>
      <c r="J308">
        <f t="shared" si="53"/>
        <v>0</v>
      </c>
      <c r="K308">
        <f t="shared" si="54"/>
        <v>0.94226603101549489</v>
      </c>
      <c r="L308">
        <f t="shared" si="55"/>
        <v>0</v>
      </c>
      <c r="M308" s="4">
        <f t="shared" si="56"/>
        <v>0</v>
      </c>
      <c r="N308">
        <f t="shared" si="57"/>
        <v>0</v>
      </c>
      <c r="O308" cm="1">
        <f t="array" ref="O308:Q308">_xlfn.XLOOKUP(C308, X$2:X$7, AG$2:AI$7)</f>
        <v>57.8</v>
      </c>
      <c r="P308">
        <v>-6.4299999999999996E-2</v>
      </c>
      <c r="Q308">
        <v>0</v>
      </c>
      <c r="R308">
        <f t="shared" si="58"/>
        <v>2.784533647871029E-3</v>
      </c>
      <c r="S308" s="4">
        <f t="shared" si="59"/>
        <v>1</v>
      </c>
      <c r="T308">
        <f t="shared" si="60"/>
        <v>-1</v>
      </c>
      <c r="U308">
        <f t="shared" si="61"/>
        <v>-1</v>
      </c>
    </row>
    <row r="309" spans="1:21">
      <c r="A309" t="s">
        <v>386</v>
      </c>
      <c r="B309" t="s">
        <v>46</v>
      </c>
      <c r="C309" t="s">
        <v>407</v>
      </c>
      <c r="D309" s="1">
        <v>116.9</v>
      </c>
      <c r="E309" s="1">
        <f t="shared" si="50"/>
        <v>93.4</v>
      </c>
      <c r="F309">
        <v>6.1</v>
      </c>
      <c r="G309" s="1">
        <v>227</v>
      </c>
      <c r="H309">
        <f t="shared" si="51"/>
        <v>-87.300000000000011</v>
      </c>
      <c r="I309">
        <f t="shared" si="52"/>
        <v>-5.1352941176470592</v>
      </c>
      <c r="J309">
        <f t="shared" si="53"/>
        <v>0</v>
      </c>
      <c r="K309">
        <f t="shared" si="54"/>
        <v>0.94226603101549489</v>
      </c>
      <c r="L309">
        <f t="shared" si="55"/>
        <v>0</v>
      </c>
      <c r="M309" s="4">
        <f t="shared" si="56"/>
        <v>0</v>
      </c>
      <c r="N309">
        <f t="shared" si="57"/>
        <v>0</v>
      </c>
      <c r="O309" cm="1">
        <f t="array" ref="O309:Q309">_xlfn.XLOOKUP(C309, X$2:X$7, AG$2:AI$7)</f>
        <v>57.8</v>
      </c>
      <c r="P309">
        <v>-6.4299999999999996E-2</v>
      </c>
      <c r="Q309">
        <v>0</v>
      </c>
      <c r="R309">
        <f t="shared" si="58"/>
        <v>3.0902456741696679E-5</v>
      </c>
      <c r="S309" s="4">
        <f t="shared" si="59"/>
        <v>1</v>
      </c>
      <c r="T309">
        <f t="shared" si="60"/>
        <v>-1</v>
      </c>
      <c r="U309">
        <f t="shared" si="61"/>
        <v>-1</v>
      </c>
    </row>
    <row r="310" spans="1:21">
      <c r="A310" t="s">
        <v>391</v>
      </c>
      <c r="B310" t="s">
        <v>46</v>
      </c>
      <c r="C310" t="s">
        <v>407</v>
      </c>
      <c r="D310" s="1">
        <v>116.9</v>
      </c>
      <c r="E310" s="1">
        <f t="shared" si="50"/>
        <v>93.4</v>
      </c>
      <c r="F310">
        <v>5.5</v>
      </c>
      <c r="G310" s="1">
        <v>232</v>
      </c>
      <c r="H310">
        <f t="shared" si="51"/>
        <v>-87.9</v>
      </c>
      <c r="I310">
        <f t="shared" si="52"/>
        <v>-5.1705882352941179</v>
      </c>
      <c r="J310">
        <f t="shared" si="53"/>
        <v>0</v>
      </c>
      <c r="K310">
        <f t="shared" si="54"/>
        <v>0.94226603101549489</v>
      </c>
      <c r="L310">
        <f t="shared" si="55"/>
        <v>0</v>
      </c>
      <c r="M310" s="4">
        <f t="shared" si="56"/>
        <v>0</v>
      </c>
      <c r="N310">
        <f t="shared" si="57"/>
        <v>0</v>
      </c>
      <c r="O310" cm="1">
        <f t="array" ref="O310:Q310">_xlfn.XLOOKUP(C310, X$2:X$7, AG$2:AI$7)</f>
        <v>57.8</v>
      </c>
      <c r="P310">
        <v>-6.4299999999999996E-2</v>
      </c>
      <c r="Q310">
        <v>0</v>
      </c>
      <c r="R310">
        <f t="shared" si="58"/>
        <v>2.240615475453038E-5</v>
      </c>
      <c r="S310" s="4">
        <f t="shared" si="59"/>
        <v>1</v>
      </c>
      <c r="T310">
        <f t="shared" si="60"/>
        <v>-1</v>
      </c>
      <c r="U310">
        <f t="shared" si="61"/>
        <v>-1</v>
      </c>
    </row>
    <row r="311" spans="1:21">
      <c r="A311" t="s">
        <v>138</v>
      </c>
      <c r="B311" t="s">
        <v>42</v>
      </c>
      <c r="C311" t="s">
        <v>159</v>
      </c>
      <c r="D311" s="1">
        <v>228</v>
      </c>
      <c r="E311" s="1">
        <f t="shared" si="50"/>
        <v>190</v>
      </c>
      <c r="F311">
        <v>15</v>
      </c>
      <c r="G311" s="1">
        <v>68</v>
      </c>
      <c r="H311">
        <f t="shared" si="51"/>
        <v>-175</v>
      </c>
      <c r="I311">
        <f t="shared" si="52"/>
        <v>-10.294117647058824</v>
      </c>
      <c r="J311">
        <f t="shared" si="53"/>
        <v>0</v>
      </c>
      <c r="K311">
        <f t="shared" si="54"/>
        <v>0.57566309754037293</v>
      </c>
      <c r="L311">
        <f t="shared" si="55"/>
        <v>0</v>
      </c>
      <c r="M311" s="4">
        <f t="shared" si="56"/>
        <v>0</v>
      </c>
      <c r="N311">
        <f t="shared" si="57"/>
        <v>0</v>
      </c>
      <c r="O311" cm="1">
        <f t="array" ref="O311:Q311">_xlfn.XLOOKUP(C311, X$2:X$7, AG$2:AI$7)</f>
        <v>56.4</v>
      </c>
      <c r="P311">
        <v>-0.16300000000000001</v>
      </c>
      <c r="Q311">
        <v>0</v>
      </c>
      <c r="R311">
        <f t="shared" si="58"/>
        <v>1.0107178194975796E-3</v>
      </c>
      <c r="S311" s="4">
        <f t="shared" si="59"/>
        <v>1</v>
      </c>
      <c r="T311">
        <f t="shared" si="60"/>
        <v>-1</v>
      </c>
      <c r="U311">
        <f t="shared" si="61"/>
        <v>-1</v>
      </c>
    </row>
    <row r="312" spans="1:21">
      <c r="A312" t="s">
        <v>149</v>
      </c>
      <c r="B312" t="s">
        <v>42</v>
      </c>
      <c r="C312" t="s">
        <v>159</v>
      </c>
      <c r="D312" s="1">
        <v>228</v>
      </c>
      <c r="E312" s="1">
        <f t="shared" si="50"/>
        <v>190</v>
      </c>
      <c r="F312">
        <v>8.4</v>
      </c>
      <c r="G312" s="1">
        <v>79</v>
      </c>
      <c r="H312">
        <f t="shared" si="51"/>
        <v>-181.6</v>
      </c>
      <c r="I312">
        <f t="shared" si="52"/>
        <v>-10.68235294117647</v>
      </c>
      <c r="J312">
        <f t="shared" si="53"/>
        <v>0</v>
      </c>
      <c r="K312">
        <f t="shared" si="54"/>
        <v>0.57566309754037293</v>
      </c>
      <c r="L312">
        <f t="shared" si="55"/>
        <v>0</v>
      </c>
      <c r="M312" s="4">
        <f t="shared" si="56"/>
        <v>0</v>
      </c>
      <c r="N312">
        <f t="shared" si="57"/>
        <v>0</v>
      </c>
      <c r="O312" cm="1">
        <f t="array" ref="O312:Q312">_xlfn.XLOOKUP(C312, X$2:X$7, AG$2:AI$7)</f>
        <v>56.4</v>
      </c>
      <c r="P312">
        <v>-0.16300000000000001</v>
      </c>
      <c r="Q312">
        <v>0</v>
      </c>
      <c r="R312">
        <f t="shared" si="58"/>
        <v>1.6824412838741044E-4</v>
      </c>
      <c r="S312" s="4">
        <f t="shared" si="59"/>
        <v>1</v>
      </c>
      <c r="T312">
        <f t="shared" si="60"/>
        <v>-1</v>
      </c>
      <c r="U312">
        <f t="shared" si="61"/>
        <v>-1</v>
      </c>
    </row>
    <row r="313" spans="1:21">
      <c r="A313" t="s">
        <v>474</v>
      </c>
      <c r="B313" t="s">
        <v>42</v>
      </c>
      <c r="C313" t="s">
        <v>586</v>
      </c>
      <c r="D313" s="1">
        <v>107.9</v>
      </c>
      <c r="E313" s="1">
        <f t="shared" si="50"/>
        <v>73</v>
      </c>
      <c r="F313">
        <v>51.8</v>
      </c>
      <c r="G313" s="1">
        <v>67</v>
      </c>
      <c r="H313">
        <f t="shared" si="51"/>
        <v>-21.200000000000003</v>
      </c>
      <c r="I313">
        <f t="shared" si="52"/>
        <v>-1.247058823529412</v>
      </c>
      <c r="J313">
        <f t="shared" si="53"/>
        <v>0</v>
      </c>
      <c r="K313">
        <f t="shared" si="54"/>
        <v>1.0011070456397422</v>
      </c>
      <c r="L313">
        <f t="shared" si="55"/>
        <v>0</v>
      </c>
      <c r="M313" s="4">
        <f t="shared" si="56"/>
        <v>0</v>
      </c>
      <c r="N313">
        <f t="shared" si="57"/>
        <v>0</v>
      </c>
      <c r="O313" cm="1">
        <f t="array" ref="O313:Q313">_xlfn.XLOOKUP(C313, X$2:X$7, AG$2:AI$7)</f>
        <v>5.0900000000000001E-2</v>
      </c>
      <c r="P313">
        <v>-3.9</v>
      </c>
      <c r="Q313">
        <v>73.900000000000006</v>
      </c>
      <c r="R313">
        <f t="shared" si="58"/>
        <v>47.952146700000007</v>
      </c>
      <c r="S313" s="4">
        <f t="shared" si="59"/>
        <v>1</v>
      </c>
      <c r="T313">
        <f t="shared" si="60"/>
        <v>-1</v>
      </c>
      <c r="U313">
        <f t="shared" si="61"/>
        <v>-1</v>
      </c>
    </row>
    <row r="314" spans="1:21">
      <c r="A314" t="s">
        <v>527</v>
      </c>
      <c r="B314" t="s">
        <v>42</v>
      </c>
      <c r="C314" t="s">
        <v>586</v>
      </c>
      <c r="D314" s="1">
        <v>107.9</v>
      </c>
      <c r="E314" s="1">
        <f t="shared" si="50"/>
        <v>73</v>
      </c>
      <c r="F314">
        <v>19.3</v>
      </c>
      <c r="G314" s="1">
        <v>121</v>
      </c>
      <c r="H314">
        <f t="shared" si="51"/>
        <v>-53.7</v>
      </c>
      <c r="I314">
        <f t="shared" si="52"/>
        <v>-3.158823529411765</v>
      </c>
      <c r="J314">
        <f t="shared" si="53"/>
        <v>0</v>
      </c>
      <c r="K314">
        <f t="shared" si="54"/>
        <v>1.0011070456397422</v>
      </c>
      <c r="L314">
        <f t="shared" si="55"/>
        <v>0</v>
      </c>
      <c r="M314" s="4">
        <f t="shared" si="56"/>
        <v>0</v>
      </c>
      <c r="N314">
        <f t="shared" si="57"/>
        <v>0</v>
      </c>
      <c r="O314" cm="1">
        <f t="array" ref="O314:Q314">_xlfn.XLOOKUP(C314, X$2:X$7, AG$2:AI$7)</f>
        <v>5.0900000000000001E-2</v>
      </c>
      <c r="P314">
        <v>-3.9</v>
      </c>
      <c r="Q314">
        <v>73.900000000000006</v>
      </c>
      <c r="R314">
        <f t="shared" si="58"/>
        <v>405.21379230000002</v>
      </c>
      <c r="S314" s="4">
        <f t="shared" si="59"/>
        <v>1</v>
      </c>
      <c r="T314">
        <f t="shared" si="60"/>
        <v>-1</v>
      </c>
      <c r="U314">
        <f t="shared" si="61"/>
        <v>-1</v>
      </c>
    </row>
    <row r="315" spans="1:21">
      <c r="A315" t="s">
        <v>533</v>
      </c>
      <c r="B315" t="s">
        <v>42</v>
      </c>
      <c r="C315" t="s">
        <v>586</v>
      </c>
      <c r="D315" s="1">
        <v>107.9</v>
      </c>
      <c r="E315" s="1">
        <f t="shared" si="50"/>
        <v>73</v>
      </c>
      <c r="F315">
        <v>17</v>
      </c>
      <c r="G315" s="1">
        <v>127</v>
      </c>
      <c r="H315">
        <f t="shared" si="51"/>
        <v>-56</v>
      </c>
      <c r="I315">
        <f t="shared" si="52"/>
        <v>-3.2941176470588234</v>
      </c>
      <c r="J315">
        <f t="shared" si="53"/>
        <v>0</v>
      </c>
      <c r="K315">
        <f t="shared" si="54"/>
        <v>1.0011070456397422</v>
      </c>
      <c r="L315">
        <f t="shared" si="55"/>
        <v>0</v>
      </c>
      <c r="M315" s="4">
        <f t="shared" si="56"/>
        <v>0</v>
      </c>
      <c r="N315">
        <f t="shared" si="57"/>
        <v>0</v>
      </c>
      <c r="O315" cm="1">
        <f t="array" ref="O315:Q315">_xlfn.XLOOKUP(C315, X$2:X$7, AG$2:AI$7)</f>
        <v>5.0900000000000001E-2</v>
      </c>
      <c r="P315">
        <v>-3.9</v>
      </c>
      <c r="Q315">
        <v>73.900000000000006</v>
      </c>
      <c r="R315">
        <f t="shared" si="58"/>
        <v>466.29363870000003</v>
      </c>
      <c r="S315" s="4">
        <f t="shared" si="59"/>
        <v>1</v>
      </c>
      <c r="T315">
        <f t="shared" si="60"/>
        <v>-1</v>
      </c>
      <c r="U315">
        <f t="shared" si="61"/>
        <v>-1</v>
      </c>
    </row>
    <row r="316" spans="1:21">
      <c r="A316" t="s">
        <v>557</v>
      </c>
      <c r="B316" t="s">
        <v>42</v>
      </c>
      <c r="C316" t="s">
        <v>586</v>
      </c>
      <c r="D316" s="1">
        <v>107.9</v>
      </c>
      <c r="E316" s="1">
        <f t="shared" si="50"/>
        <v>73</v>
      </c>
      <c r="F316">
        <v>9</v>
      </c>
      <c r="G316" s="1">
        <v>152</v>
      </c>
      <c r="H316">
        <f t="shared" si="51"/>
        <v>-64</v>
      </c>
      <c r="I316">
        <f t="shared" si="52"/>
        <v>-3.7647058823529411</v>
      </c>
      <c r="J316">
        <f t="shared" si="53"/>
        <v>0</v>
      </c>
      <c r="K316">
        <f t="shared" si="54"/>
        <v>1.0011070456397422</v>
      </c>
      <c r="L316">
        <f t="shared" si="55"/>
        <v>0</v>
      </c>
      <c r="M316" s="4">
        <f t="shared" si="56"/>
        <v>0</v>
      </c>
      <c r="N316">
        <f t="shared" si="57"/>
        <v>0</v>
      </c>
      <c r="O316" cm="1">
        <f t="array" ref="O316:Q316">_xlfn.XLOOKUP(C316, X$2:X$7, AG$2:AI$7)</f>
        <v>5.0900000000000001E-2</v>
      </c>
      <c r="P316">
        <v>-3.9</v>
      </c>
      <c r="Q316">
        <v>73.900000000000006</v>
      </c>
      <c r="R316">
        <f t="shared" si="58"/>
        <v>766.82823120000012</v>
      </c>
      <c r="S316" s="4">
        <f t="shared" si="59"/>
        <v>1</v>
      </c>
      <c r="T316">
        <f t="shared" si="60"/>
        <v>-1</v>
      </c>
      <c r="U316">
        <f t="shared" si="61"/>
        <v>-1</v>
      </c>
    </row>
    <row r="317" spans="1:21">
      <c r="A317" t="s">
        <v>533</v>
      </c>
      <c r="B317" t="s">
        <v>42</v>
      </c>
      <c r="C317" t="s">
        <v>729</v>
      </c>
      <c r="D317" s="1">
        <v>99</v>
      </c>
      <c r="E317" s="1">
        <f t="shared" si="50"/>
        <v>82.5</v>
      </c>
      <c r="F317">
        <v>14.8</v>
      </c>
      <c r="G317" s="1">
        <v>97</v>
      </c>
      <c r="H317">
        <f t="shared" si="51"/>
        <v>-67.7</v>
      </c>
      <c r="I317">
        <f t="shared" si="52"/>
        <v>-3.9823529411764707</v>
      </c>
      <c r="J317">
        <f t="shared" si="53"/>
        <v>0</v>
      </c>
      <c r="K317">
        <f t="shared" si="54"/>
        <v>1.0909252297006058</v>
      </c>
      <c r="L317">
        <f t="shared" si="55"/>
        <v>0</v>
      </c>
      <c r="M317" s="4">
        <f t="shared" si="56"/>
        <v>0</v>
      </c>
      <c r="N317">
        <f t="shared" si="57"/>
        <v>0</v>
      </c>
      <c r="O317" cm="1">
        <f t="array" ref="O317:Q317">_xlfn.XLOOKUP(C317, X$2:X$7, AG$2:AI$7)</f>
        <v>55.4</v>
      </c>
      <c r="P317">
        <v>-0.253</v>
      </c>
      <c r="Q317">
        <v>0</v>
      </c>
      <c r="R317">
        <f t="shared" si="58"/>
        <v>1.4208876529188428E-9</v>
      </c>
      <c r="S317" s="4">
        <f t="shared" si="59"/>
        <v>1</v>
      </c>
      <c r="T317">
        <f t="shared" si="60"/>
        <v>-1</v>
      </c>
      <c r="U317">
        <f t="shared" si="61"/>
        <v>-1</v>
      </c>
    </row>
    <row r="318" spans="1:21">
      <c r="A318" t="s">
        <v>690</v>
      </c>
      <c r="B318" t="s">
        <v>42</v>
      </c>
      <c r="C318" t="s">
        <v>729</v>
      </c>
      <c r="D318" s="1">
        <v>99</v>
      </c>
      <c r="E318" s="1">
        <f t="shared" si="50"/>
        <v>82.5</v>
      </c>
      <c r="F318">
        <v>13.1</v>
      </c>
      <c r="G318" s="1">
        <v>105</v>
      </c>
      <c r="H318">
        <f t="shared" si="51"/>
        <v>-69.400000000000006</v>
      </c>
      <c r="I318">
        <f t="shared" si="52"/>
        <v>-4.0823529411764712</v>
      </c>
      <c r="J318">
        <f t="shared" si="53"/>
        <v>0</v>
      </c>
      <c r="K318">
        <f t="shared" si="54"/>
        <v>1.0909252297006058</v>
      </c>
      <c r="L318">
        <f t="shared" si="55"/>
        <v>0</v>
      </c>
      <c r="M318" s="4">
        <f t="shared" si="56"/>
        <v>0</v>
      </c>
      <c r="N318">
        <f t="shared" si="57"/>
        <v>0</v>
      </c>
      <c r="O318" cm="1">
        <f t="array" ref="O318:Q318">_xlfn.XLOOKUP(C318, X$2:X$7, AG$2:AI$7)</f>
        <v>55.4</v>
      </c>
      <c r="P318">
        <v>-0.253</v>
      </c>
      <c r="Q318">
        <v>0</v>
      </c>
      <c r="R318">
        <f t="shared" si="58"/>
        <v>1.877360642744175E-10</v>
      </c>
      <c r="S318" s="4">
        <f t="shared" si="59"/>
        <v>1</v>
      </c>
      <c r="T318">
        <f t="shared" si="60"/>
        <v>-1</v>
      </c>
      <c r="U318">
        <f t="shared" si="61"/>
        <v>-1</v>
      </c>
    </row>
    <row r="319" spans="1:21">
      <c r="A319" t="s">
        <v>275</v>
      </c>
      <c r="B319" t="s">
        <v>42</v>
      </c>
      <c r="C319" t="s">
        <v>407</v>
      </c>
      <c r="D319" s="1">
        <v>116.9</v>
      </c>
      <c r="E319" s="1">
        <f t="shared" si="50"/>
        <v>93.4</v>
      </c>
      <c r="F319">
        <v>43.5</v>
      </c>
      <c r="G319" s="1">
        <v>116</v>
      </c>
      <c r="H319">
        <f t="shared" si="51"/>
        <v>-49.900000000000006</v>
      </c>
      <c r="I319">
        <f t="shared" si="52"/>
        <v>-2.9352941176470591</v>
      </c>
      <c r="J319">
        <f t="shared" si="53"/>
        <v>0</v>
      </c>
      <c r="K319">
        <f t="shared" si="54"/>
        <v>0.94226603101549489</v>
      </c>
      <c r="L319">
        <f t="shared" si="55"/>
        <v>0</v>
      </c>
      <c r="M319" s="4">
        <f t="shared" si="56"/>
        <v>0</v>
      </c>
      <c r="N319">
        <f t="shared" si="57"/>
        <v>0</v>
      </c>
      <c r="O319" cm="1">
        <f t="array" ref="O319:Q319">_xlfn.XLOOKUP(C319, X$2:X$7, AG$2:AI$7)</f>
        <v>57.8</v>
      </c>
      <c r="P319">
        <v>-6.4299999999999996E-2</v>
      </c>
      <c r="Q319">
        <v>0</v>
      </c>
      <c r="R319">
        <f t="shared" si="58"/>
        <v>3.8876128847860306E-2</v>
      </c>
      <c r="S319" s="4">
        <f t="shared" si="59"/>
        <v>1</v>
      </c>
      <c r="T319">
        <f t="shared" si="60"/>
        <v>-1</v>
      </c>
      <c r="U319">
        <f t="shared" si="61"/>
        <v>-1</v>
      </c>
    </row>
    <row r="320" spans="1:21">
      <c r="A320" t="s">
        <v>299</v>
      </c>
      <c r="B320" t="s">
        <v>42</v>
      </c>
      <c r="C320" t="s">
        <v>407</v>
      </c>
      <c r="D320" s="1">
        <v>116.9</v>
      </c>
      <c r="E320" s="1">
        <f t="shared" si="50"/>
        <v>93.4</v>
      </c>
      <c r="F320">
        <v>27.1</v>
      </c>
      <c r="G320" s="1">
        <v>140</v>
      </c>
      <c r="H320">
        <f t="shared" si="51"/>
        <v>-66.300000000000011</v>
      </c>
      <c r="I320">
        <f t="shared" si="52"/>
        <v>-3.9000000000000008</v>
      </c>
      <c r="J320">
        <f t="shared" si="53"/>
        <v>0</v>
      </c>
      <c r="K320">
        <f t="shared" si="54"/>
        <v>0.94226603101549489</v>
      </c>
      <c r="L320">
        <f t="shared" si="55"/>
        <v>0</v>
      </c>
      <c r="M320" s="4">
        <f t="shared" si="56"/>
        <v>0</v>
      </c>
      <c r="N320">
        <f t="shared" si="57"/>
        <v>0</v>
      </c>
      <c r="O320" cm="1">
        <f t="array" ref="O320:Q320">_xlfn.XLOOKUP(C320, X$2:X$7, AG$2:AI$7)</f>
        <v>57.8</v>
      </c>
      <c r="P320">
        <v>-6.4299999999999996E-2</v>
      </c>
      <c r="Q320">
        <v>0</v>
      </c>
      <c r="R320">
        <f t="shared" si="58"/>
        <v>8.307680164365663E-3</v>
      </c>
      <c r="S320" s="4">
        <f t="shared" si="59"/>
        <v>1</v>
      </c>
      <c r="T320">
        <f t="shared" si="60"/>
        <v>-1</v>
      </c>
      <c r="U320">
        <f t="shared" si="61"/>
        <v>-1</v>
      </c>
    </row>
    <row r="321" spans="1:21">
      <c r="A321" t="s">
        <v>329</v>
      </c>
      <c r="B321" t="s">
        <v>42</v>
      </c>
      <c r="C321" t="s">
        <v>407</v>
      </c>
      <c r="D321" s="1">
        <v>116.9</v>
      </c>
      <c r="E321" s="1">
        <f t="shared" si="50"/>
        <v>93.4</v>
      </c>
      <c r="F321">
        <v>13.9</v>
      </c>
      <c r="G321" s="1">
        <v>170</v>
      </c>
      <c r="H321">
        <f t="shared" si="51"/>
        <v>-79.5</v>
      </c>
      <c r="I321">
        <f t="shared" si="52"/>
        <v>-4.6764705882352944</v>
      </c>
      <c r="J321">
        <f t="shared" si="53"/>
        <v>0</v>
      </c>
      <c r="K321">
        <f t="shared" si="54"/>
        <v>0.94226603101549489</v>
      </c>
      <c r="L321">
        <f t="shared" si="55"/>
        <v>0</v>
      </c>
      <c r="M321" s="4">
        <f t="shared" si="56"/>
        <v>0</v>
      </c>
      <c r="N321">
        <f t="shared" si="57"/>
        <v>0</v>
      </c>
      <c r="O321" cm="1">
        <f t="array" ref="O321:Q321">_xlfn.XLOOKUP(C321, X$2:X$7, AG$2:AI$7)</f>
        <v>57.8</v>
      </c>
      <c r="P321">
        <v>-6.4299999999999996E-2</v>
      </c>
      <c r="Q321">
        <v>0</v>
      </c>
      <c r="R321">
        <f t="shared" si="58"/>
        <v>1.2070512573686756E-3</v>
      </c>
      <c r="S321" s="4">
        <f t="shared" si="59"/>
        <v>1</v>
      </c>
      <c r="T321">
        <f t="shared" si="60"/>
        <v>-1</v>
      </c>
      <c r="U321">
        <f t="shared" si="61"/>
        <v>-1</v>
      </c>
    </row>
    <row r="322" spans="1:21">
      <c r="A322" t="s">
        <v>353</v>
      </c>
      <c r="B322" t="s">
        <v>42</v>
      </c>
      <c r="C322" t="s">
        <v>407</v>
      </c>
      <c r="D322" s="1">
        <v>116.9</v>
      </c>
      <c r="E322" s="1">
        <f t="shared" ref="E322:E385" si="62">IF(C322=X$2, AE$2, IF(C322 = X$3, AE$3, IF(C322 = X$4, AE$4, IF(C322 = X$5, AE$5, IF(C322=X$6, AE$6, IF(C322=X$7, AE$7, ""))))))</f>
        <v>93.4</v>
      </c>
      <c r="F322">
        <v>8.3000000000000007</v>
      </c>
      <c r="G322" s="1">
        <v>194</v>
      </c>
      <c r="H322">
        <f t="shared" ref="H322:H385" si="63">F322-E322</f>
        <v>-85.100000000000009</v>
      </c>
      <c r="I322">
        <f t="shared" ref="I322:I385" si="64">H322/17</f>
        <v>-5.0058823529411773</v>
      </c>
      <c r="J322">
        <f t="shared" ref="J322:J385" si="65">IF(1+I322/AK$2&lt;0, 0,(1+I322/AK$2))</f>
        <v>0</v>
      </c>
      <c r="K322">
        <f t="shared" ref="K322:K385" si="66">IF(C322=X$2, AB$2, IF(C322 = X$3, AB$3, IF(C322 = X$4, AB$4, IF(C322 = X$5, AB$5, IF(C322=X$6, AB$6, IF(C322=X$7, AB$7, ""))))))</f>
        <v>0.94226603101549489</v>
      </c>
      <c r="L322">
        <f t="shared" ref="L322:L385" si="67">M322/AN$21*AN$12</f>
        <v>0</v>
      </c>
      <c r="M322" s="4">
        <f t="shared" ref="M322:M385" si="68">J322*K322</f>
        <v>0</v>
      </c>
      <c r="N322">
        <f t="shared" ref="N322:N385" si="69">M322*1.25</f>
        <v>0</v>
      </c>
      <c r="O322" cm="1">
        <f t="array" ref="O322:Q322">_xlfn.XLOOKUP(C322, X$2:X$7, AG$2:AI$7)</f>
        <v>57.8</v>
      </c>
      <c r="P322">
        <v>-6.4299999999999996E-2</v>
      </c>
      <c r="Q322">
        <v>0</v>
      </c>
      <c r="R322">
        <f t="shared" ref="R322:R385" si="70">IF(Q322=0,1.167*O322*EXP(P322*G322),1.167*(O322*G322^2+P322*G322+Q322))</f>
        <v>2.5794224078888166E-4</v>
      </c>
      <c r="S322" s="4">
        <f t="shared" ref="S322:S385" si="71">IF(OR(H322&lt;0, R322&lt;1), 1, R322)</f>
        <v>1</v>
      </c>
      <c r="T322">
        <f t="shared" ref="T322:T385" si="72">M322-S322</f>
        <v>-1</v>
      </c>
      <c r="U322">
        <f t="shared" ref="U322:U385" si="73">N322-S322</f>
        <v>-1</v>
      </c>
    </row>
    <row r="323" spans="1:21">
      <c r="A323" t="s">
        <v>356</v>
      </c>
      <c r="B323" t="s">
        <v>42</v>
      </c>
      <c r="C323" t="s">
        <v>407</v>
      </c>
      <c r="D323" s="1">
        <v>116.9</v>
      </c>
      <c r="E323" s="1">
        <f t="shared" si="62"/>
        <v>93.4</v>
      </c>
      <c r="F323">
        <v>8.1999999999999993</v>
      </c>
      <c r="G323" s="1">
        <v>197</v>
      </c>
      <c r="H323">
        <f t="shared" si="63"/>
        <v>-85.2</v>
      </c>
      <c r="I323">
        <f t="shared" si="64"/>
        <v>-5.0117647058823529</v>
      </c>
      <c r="J323">
        <f t="shared" si="65"/>
        <v>0</v>
      </c>
      <c r="K323">
        <f t="shared" si="66"/>
        <v>0.94226603101549489</v>
      </c>
      <c r="L323">
        <f t="shared" si="67"/>
        <v>0</v>
      </c>
      <c r="M323" s="4">
        <f t="shared" si="68"/>
        <v>0</v>
      </c>
      <c r="N323">
        <f t="shared" si="69"/>
        <v>0</v>
      </c>
      <c r="O323" cm="1">
        <f t="array" ref="O323:Q323">_xlfn.XLOOKUP(C323, X$2:X$7, AG$2:AI$7)</f>
        <v>57.8</v>
      </c>
      <c r="P323">
        <v>-6.4299999999999996E-2</v>
      </c>
      <c r="Q323">
        <v>0</v>
      </c>
      <c r="R323">
        <f t="shared" si="70"/>
        <v>2.1268999583565142E-4</v>
      </c>
      <c r="S323" s="4">
        <f t="shared" si="71"/>
        <v>1</v>
      </c>
      <c r="T323">
        <f t="shared" si="72"/>
        <v>-1</v>
      </c>
      <c r="U323">
        <f t="shared" si="73"/>
        <v>-1</v>
      </c>
    </row>
    <row r="324" spans="1:21">
      <c r="A324" t="s">
        <v>366</v>
      </c>
      <c r="B324" t="s">
        <v>42</v>
      </c>
      <c r="C324" t="s">
        <v>407</v>
      </c>
      <c r="D324" s="1">
        <v>116.9</v>
      </c>
      <c r="E324" s="1">
        <f t="shared" si="62"/>
        <v>93.4</v>
      </c>
      <c r="F324">
        <v>7.9</v>
      </c>
      <c r="G324" s="1">
        <v>207</v>
      </c>
      <c r="H324">
        <f t="shared" si="63"/>
        <v>-85.5</v>
      </c>
      <c r="I324">
        <f t="shared" si="64"/>
        <v>-5.0294117647058822</v>
      </c>
      <c r="J324">
        <f t="shared" si="65"/>
        <v>0</v>
      </c>
      <c r="K324">
        <f t="shared" si="66"/>
        <v>0.94226603101549489</v>
      </c>
      <c r="L324">
        <f t="shared" si="67"/>
        <v>0</v>
      </c>
      <c r="M324" s="4">
        <f t="shared" si="68"/>
        <v>0</v>
      </c>
      <c r="N324">
        <f t="shared" si="69"/>
        <v>0</v>
      </c>
      <c r="O324" cm="1">
        <f t="array" ref="O324:Q324">_xlfn.XLOOKUP(C324, X$2:X$7, AG$2:AI$7)</f>
        <v>57.8</v>
      </c>
      <c r="P324">
        <v>-6.4299999999999996E-2</v>
      </c>
      <c r="Q324">
        <v>0</v>
      </c>
      <c r="R324">
        <f t="shared" si="70"/>
        <v>1.1181387817337471E-4</v>
      </c>
      <c r="S324" s="4">
        <f t="shared" si="71"/>
        <v>1</v>
      </c>
      <c r="T324">
        <f t="shared" si="72"/>
        <v>-1</v>
      </c>
      <c r="U324">
        <f t="shared" si="73"/>
        <v>-1</v>
      </c>
    </row>
    <row r="325" spans="1:21">
      <c r="A325" t="s">
        <v>368</v>
      </c>
      <c r="B325" t="s">
        <v>42</v>
      </c>
      <c r="C325" t="s">
        <v>407</v>
      </c>
      <c r="D325" s="1">
        <v>116.9</v>
      </c>
      <c r="E325" s="1">
        <f t="shared" si="62"/>
        <v>93.4</v>
      </c>
      <c r="F325">
        <v>7.8</v>
      </c>
      <c r="G325" s="1">
        <v>209</v>
      </c>
      <c r="H325">
        <f t="shared" si="63"/>
        <v>-85.600000000000009</v>
      </c>
      <c r="I325">
        <f t="shared" si="64"/>
        <v>-5.0352941176470596</v>
      </c>
      <c r="J325">
        <f t="shared" si="65"/>
        <v>0</v>
      </c>
      <c r="K325">
        <f t="shared" si="66"/>
        <v>0.94226603101549489</v>
      </c>
      <c r="L325">
        <f t="shared" si="67"/>
        <v>0</v>
      </c>
      <c r="M325" s="4">
        <f t="shared" si="68"/>
        <v>0</v>
      </c>
      <c r="N325">
        <f t="shared" si="69"/>
        <v>0</v>
      </c>
      <c r="O325" cm="1">
        <f t="array" ref="O325:Q325">_xlfn.XLOOKUP(C325, X$2:X$7, AG$2:AI$7)</f>
        <v>57.8</v>
      </c>
      <c r="P325">
        <v>-6.4299999999999996E-2</v>
      </c>
      <c r="Q325">
        <v>0</v>
      </c>
      <c r="R325">
        <f t="shared" si="70"/>
        <v>9.8320808359809748E-5</v>
      </c>
      <c r="S325" s="4">
        <f t="shared" si="71"/>
        <v>1</v>
      </c>
      <c r="T325">
        <f t="shared" si="72"/>
        <v>-1</v>
      </c>
      <c r="U325">
        <f t="shared" si="73"/>
        <v>-1</v>
      </c>
    </row>
    <row r="326" spans="1:21">
      <c r="A326" t="s">
        <v>757</v>
      </c>
      <c r="B326" t="s">
        <v>86</v>
      </c>
      <c r="C326" t="s">
        <v>764</v>
      </c>
      <c r="D326" s="1">
        <v>124.7</v>
      </c>
      <c r="E326" s="1">
        <f t="shared" si="62"/>
        <v>118.7</v>
      </c>
      <c r="F326">
        <v>110.3</v>
      </c>
      <c r="G326" s="1">
        <v>28</v>
      </c>
      <c r="H326">
        <f t="shared" si="63"/>
        <v>-8.4000000000000057</v>
      </c>
      <c r="I326">
        <f t="shared" si="64"/>
        <v>-0.49411764705882388</v>
      </c>
      <c r="J326">
        <f t="shared" si="65"/>
        <v>0</v>
      </c>
      <c r="K326">
        <f t="shared" si="66"/>
        <v>0.70591649737063444</v>
      </c>
      <c r="L326">
        <f t="shared" si="67"/>
        <v>0</v>
      </c>
      <c r="M326" s="4">
        <f t="shared" si="68"/>
        <v>0</v>
      </c>
      <c r="N326">
        <f t="shared" si="69"/>
        <v>0</v>
      </c>
      <c r="O326" cm="1">
        <f t="array" ref="O326:Q326">_xlfn.XLOOKUP(C326, X$2:X$7, AG$2:AI$7)</f>
        <v>3.22</v>
      </c>
      <c r="P326">
        <v>-0.14799999999999999</v>
      </c>
      <c r="Q326">
        <v>0</v>
      </c>
      <c r="R326">
        <f t="shared" si="70"/>
        <v>5.9595078302410676E-2</v>
      </c>
      <c r="S326" s="4">
        <f t="shared" si="71"/>
        <v>1</v>
      </c>
      <c r="T326">
        <f t="shared" si="72"/>
        <v>-1</v>
      </c>
      <c r="U326">
        <f t="shared" si="73"/>
        <v>-1</v>
      </c>
    </row>
    <row r="327" spans="1:21">
      <c r="A327" t="s">
        <v>120</v>
      </c>
      <c r="B327" t="s">
        <v>86</v>
      </c>
      <c r="C327" t="s">
        <v>159</v>
      </c>
      <c r="D327" s="1">
        <v>228</v>
      </c>
      <c r="E327" s="1">
        <f t="shared" si="62"/>
        <v>190</v>
      </c>
      <c r="F327">
        <v>22.7</v>
      </c>
      <c r="G327" s="1">
        <v>50</v>
      </c>
      <c r="H327">
        <f t="shared" si="63"/>
        <v>-167.3</v>
      </c>
      <c r="I327">
        <f t="shared" si="64"/>
        <v>-9.8411764705882359</v>
      </c>
      <c r="J327">
        <f t="shared" si="65"/>
        <v>0</v>
      </c>
      <c r="K327">
        <f t="shared" si="66"/>
        <v>0.57566309754037293</v>
      </c>
      <c r="L327">
        <f t="shared" si="67"/>
        <v>0</v>
      </c>
      <c r="M327" s="4">
        <f t="shared" si="68"/>
        <v>0</v>
      </c>
      <c r="N327">
        <f t="shared" si="69"/>
        <v>0</v>
      </c>
      <c r="O327" cm="1">
        <f t="array" ref="O327:Q327">_xlfn.XLOOKUP(C327, X$2:X$7, AG$2:AI$7)</f>
        <v>56.4</v>
      </c>
      <c r="P327">
        <v>-0.16300000000000001</v>
      </c>
      <c r="Q327">
        <v>0</v>
      </c>
      <c r="R327">
        <f t="shared" si="70"/>
        <v>1.9004214888296768E-2</v>
      </c>
      <c r="S327" s="4">
        <f t="shared" si="71"/>
        <v>1</v>
      </c>
      <c r="T327">
        <f t="shared" si="72"/>
        <v>-1</v>
      </c>
      <c r="U327">
        <f t="shared" si="73"/>
        <v>-1</v>
      </c>
    </row>
    <row r="328" spans="1:21">
      <c r="A328" t="s">
        <v>151</v>
      </c>
      <c r="B328" t="s">
        <v>86</v>
      </c>
      <c r="C328" t="s">
        <v>159</v>
      </c>
      <c r="D328" s="1">
        <v>228</v>
      </c>
      <c r="E328" s="1">
        <f t="shared" si="62"/>
        <v>190</v>
      </c>
      <c r="F328">
        <v>6.9</v>
      </c>
      <c r="G328" s="1">
        <v>81</v>
      </c>
      <c r="H328">
        <f t="shared" si="63"/>
        <v>-183.1</v>
      </c>
      <c r="I328">
        <f t="shared" si="64"/>
        <v>-10.770588235294117</v>
      </c>
      <c r="J328">
        <f t="shared" si="65"/>
        <v>0</v>
      </c>
      <c r="K328">
        <f t="shared" si="66"/>
        <v>0.57566309754037293</v>
      </c>
      <c r="L328">
        <f t="shared" si="67"/>
        <v>0</v>
      </c>
      <c r="M328" s="4">
        <f t="shared" si="68"/>
        <v>0</v>
      </c>
      <c r="N328">
        <f t="shared" si="69"/>
        <v>0</v>
      </c>
      <c r="O328" cm="1">
        <f t="array" ref="O328:Q328">_xlfn.XLOOKUP(C328, X$2:X$7, AG$2:AI$7)</f>
        <v>56.4</v>
      </c>
      <c r="P328">
        <v>-0.16300000000000001</v>
      </c>
      <c r="Q328">
        <v>0</v>
      </c>
      <c r="R328">
        <f t="shared" si="70"/>
        <v>1.2143948462496037E-4</v>
      </c>
      <c r="S328" s="4">
        <f t="shared" si="71"/>
        <v>1</v>
      </c>
      <c r="T328">
        <f t="shared" si="72"/>
        <v>-1</v>
      </c>
      <c r="U328">
        <f t="shared" si="73"/>
        <v>-1</v>
      </c>
    </row>
    <row r="329" spans="1:21">
      <c r="A329" t="s">
        <v>495</v>
      </c>
      <c r="B329" t="s">
        <v>86</v>
      </c>
      <c r="C329" t="s">
        <v>586</v>
      </c>
      <c r="D329" s="1">
        <v>107.9</v>
      </c>
      <c r="E329" s="1">
        <f t="shared" si="62"/>
        <v>73</v>
      </c>
      <c r="F329">
        <v>33.200000000000003</v>
      </c>
      <c r="G329" s="1">
        <v>88</v>
      </c>
      <c r="H329">
        <f t="shared" si="63"/>
        <v>-39.799999999999997</v>
      </c>
      <c r="I329">
        <f t="shared" si="64"/>
        <v>-2.341176470588235</v>
      </c>
      <c r="J329">
        <f t="shared" si="65"/>
        <v>0</v>
      </c>
      <c r="K329">
        <f t="shared" si="66"/>
        <v>1.0011070456397422</v>
      </c>
      <c r="L329">
        <f t="shared" si="67"/>
        <v>0</v>
      </c>
      <c r="M329" s="4">
        <f t="shared" si="68"/>
        <v>0</v>
      </c>
      <c r="N329">
        <f t="shared" si="69"/>
        <v>0</v>
      </c>
      <c r="O329" cm="1">
        <f t="array" ref="O329:Q329">_xlfn.XLOOKUP(C329, X$2:X$7, AG$2:AI$7)</f>
        <v>5.0900000000000001E-2</v>
      </c>
      <c r="P329">
        <v>-3.9</v>
      </c>
      <c r="Q329">
        <v>73.900000000000006</v>
      </c>
      <c r="R329">
        <f t="shared" si="70"/>
        <v>145.72282320000002</v>
      </c>
      <c r="S329" s="4">
        <f t="shared" si="71"/>
        <v>1</v>
      </c>
      <c r="T329">
        <f t="shared" si="72"/>
        <v>-1</v>
      </c>
      <c r="U329">
        <f t="shared" si="73"/>
        <v>-1</v>
      </c>
    </row>
    <row r="330" spans="1:21">
      <c r="A330" t="s">
        <v>556</v>
      </c>
      <c r="B330" t="s">
        <v>86</v>
      </c>
      <c r="C330" t="s">
        <v>586</v>
      </c>
      <c r="D330" s="1">
        <v>107.9</v>
      </c>
      <c r="E330" s="1">
        <f t="shared" si="62"/>
        <v>73</v>
      </c>
      <c r="F330">
        <v>9.1</v>
      </c>
      <c r="G330" s="1">
        <v>151</v>
      </c>
      <c r="H330">
        <f t="shared" si="63"/>
        <v>-63.9</v>
      </c>
      <c r="I330">
        <f t="shared" si="64"/>
        <v>-3.7588235294117647</v>
      </c>
      <c r="J330">
        <f t="shared" si="65"/>
        <v>0</v>
      </c>
      <c r="K330">
        <f t="shared" si="66"/>
        <v>1.0011070456397422</v>
      </c>
      <c r="L330">
        <f t="shared" si="67"/>
        <v>0</v>
      </c>
      <c r="M330" s="4">
        <f t="shared" si="68"/>
        <v>0</v>
      </c>
      <c r="N330">
        <f t="shared" si="69"/>
        <v>0</v>
      </c>
      <c r="O330" cm="1">
        <f t="array" ref="O330:Q330">_xlfn.XLOOKUP(C330, X$2:X$7, AG$2:AI$7)</f>
        <v>5.0900000000000001E-2</v>
      </c>
      <c r="P330">
        <v>-3.9</v>
      </c>
      <c r="Q330">
        <v>73.900000000000006</v>
      </c>
      <c r="R330">
        <f t="shared" si="70"/>
        <v>753.38124029999994</v>
      </c>
      <c r="S330" s="4">
        <f t="shared" si="71"/>
        <v>1</v>
      </c>
      <c r="T330">
        <f t="shared" si="72"/>
        <v>-1</v>
      </c>
      <c r="U330">
        <f t="shared" si="73"/>
        <v>-1</v>
      </c>
    </row>
    <row r="331" spans="1:21">
      <c r="A331" t="s">
        <v>558</v>
      </c>
      <c r="B331" t="s">
        <v>86</v>
      </c>
      <c r="C331" t="s">
        <v>586</v>
      </c>
      <c r="D331" s="1">
        <v>107.9</v>
      </c>
      <c r="E331" s="1">
        <f t="shared" si="62"/>
        <v>73</v>
      </c>
      <c r="F331">
        <v>8.9</v>
      </c>
      <c r="G331" s="1">
        <v>153</v>
      </c>
      <c r="H331">
        <f t="shared" si="63"/>
        <v>-64.099999999999994</v>
      </c>
      <c r="I331">
        <f t="shared" si="64"/>
        <v>-3.7705882352941171</v>
      </c>
      <c r="J331">
        <f t="shared" si="65"/>
        <v>0</v>
      </c>
      <c r="K331">
        <f t="shared" si="66"/>
        <v>1.0011070456397422</v>
      </c>
      <c r="L331">
        <f t="shared" si="67"/>
        <v>0</v>
      </c>
      <c r="M331" s="4">
        <f t="shared" si="68"/>
        <v>0</v>
      </c>
      <c r="N331">
        <f t="shared" si="69"/>
        <v>0</v>
      </c>
      <c r="O331" cm="1">
        <f t="array" ref="O331:Q331">_xlfn.XLOOKUP(C331, X$2:X$7, AG$2:AI$7)</f>
        <v>5.0900000000000001E-2</v>
      </c>
      <c r="P331">
        <v>-3.9</v>
      </c>
      <c r="Q331">
        <v>73.900000000000006</v>
      </c>
      <c r="R331">
        <f t="shared" si="70"/>
        <v>780.39402270000005</v>
      </c>
      <c r="S331" s="4">
        <f t="shared" si="71"/>
        <v>1</v>
      </c>
      <c r="T331">
        <f t="shared" si="72"/>
        <v>-1</v>
      </c>
      <c r="U331">
        <f t="shared" si="73"/>
        <v>-1</v>
      </c>
    </row>
    <row r="332" spans="1:21">
      <c r="A332" t="s">
        <v>643</v>
      </c>
      <c r="B332" t="s">
        <v>86</v>
      </c>
      <c r="C332" t="s">
        <v>729</v>
      </c>
      <c r="D332" s="1">
        <v>99</v>
      </c>
      <c r="E332" s="1">
        <f t="shared" si="62"/>
        <v>82.5</v>
      </c>
      <c r="F332">
        <v>29.8</v>
      </c>
      <c r="G332" s="1">
        <v>57</v>
      </c>
      <c r="H332">
        <f t="shared" si="63"/>
        <v>-52.7</v>
      </c>
      <c r="I332">
        <f t="shared" si="64"/>
        <v>-3.1</v>
      </c>
      <c r="J332">
        <f t="shared" si="65"/>
        <v>0</v>
      </c>
      <c r="K332">
        <f t="shared" si="66"/>
        <v>1.0909252297006058</v>
      </c>
      <c r="L332">
        <f t="shared" si="67"/>
        <v>0</v>
      </c>
      <c r="M332" s="4">
        <f t="shared" si="68"/>
        <v>0</v>
      </c>
      <c r="N332">
        <f t="shared" si="69"/>
        <v>0</v>
      </c>
      <c r="O332" cm="1">
        <f t="array" ref="O332:Q332">_xlfn.XLOOKUP(C332, X$2:X$7, AG$2:AI$7)</f>
        <v>55.4</v>
      </c>
      <c r="P332">
        <v>-0.253</v>
      </c>
      <c r="Q332">
        <v>0</v>
      </c>
      <c r="R332">
        <f t="shared" si="70"/>
        <v>3.5287419242613413E-5</v>
      </c>
      <c r="S332" s="4">
        <f t="shared" si="71"/>
        <v>1</v>
      </c>
      <c r="T332">
        <f t="shared" si="72"/>
        <v>-1</v>
      </c>
      <c r="U332">
        <f t="shared" si="73"/>
        <v>-1</v>
      </c>
    </row>
    <row r="333" spans="1:21">
      <c r="A333" t="s">
        <v>644</v>
      </c>
      <c r="B333" t="s">
        <v>86</v>
      </c>
      <c r="C333" t="s">
        <v>729</v>
      </c>
      <c r="D333" s="1">
        <v>99</v>
      </c>
      <c r="E333" s="1">
        <f t="shared" si="62"/>
        <v>82.5</v>
      </c>
      <c r="F333">
        <v>29.7</v>
      </c>
      <c r="G333" s="1">
        <v>58</v>
      </c>
      <c r="H333">
        <f t="shared" si="63"/>
        <v>-52.8</v>
      </c>
      <c r="I333">
        <f t="shared" si="64"/>
        <v>-3.1058823529411761</v>
      </c>
      <c r="J333">
        <f t="shared" si="65"/>
        <v>0</v>
      </c>
      <c r="K333">
        <f t="shared" si="66"/>
        <v>1.0909252297006058</v>
      </c>
      <c r="L333">
        <f t="shared" si="67"/>
        <v>0</v>
      </c>
      <c r="M333" s="4">
        <f t="shared" si="68"/>
        <v>0</v>
      </c>
      <c r="N333">
        <f t="shared" si="69"/>
        <v>0</v>
      </c>
      <c r="O333" cm="1">
        <f t="array" ref="O333:Q333">_xlfn.XLOOKUP(C333, X$2:X$7, AG$2:AI$7)</f>
        <v>55.4</v>
      </c>
      <c r="P333">
        <v>-0.253</v>
      </c>
      <c r="Q333">
        <v>0</v>
      </c>
      <c r="R333">
        <f t="shared" si="70"/>
        <v>2.7399547674338246E-5</v>
      </c>
      <c r="S333" s="4">
        <f t="shared" si="71"/>
        <v>1</v>
      </c>
      <c r="T333">
        <f t="shared" si="72"/>
        <v>-1</v>
      </c>
      <c r="U333">
        <f t="shared" si="73"/>
        <v>-1</v>
      </c>
    </row>
    <row r="334" spans="1:21">
      <c r="A334" t="s">
        <v>678</v>
      </c>
      <c r="B334" t="s">
        <v>86</v>
      </c>
      <c r="C334" t="s">
        <v>729</v>
      </c>
      <c r="D334" s="1">
        <v>99</v>
      </c>
      <c r="E334" s="1">
        <f t="shared" si="62"/>
        <v>82.5</v>
      </c>
      <c r="F334">
        <v>16.2</v>
      </c>
      <c r="G334" s="1">
        <v>92</v>
      </c>
      <c r="H334">
        <f t="shared" si="63"/>
        <v>-66.3</v>
      </c>
      <c r="I334">
        <f t="shared" si="64"/>
        <v>-3.9</v>
      </c>
      <c r="J334">
        <f t="shared" si="65"/>
        <v>0</v>
      </c>
      <c r="K334">
        <f t="shared" si="66"/>
        <v>1.0909252297006058</v>
      </c>
      <c r="L334">
        <f t="shared" si="67"/>
        <v>0</v>
      </c>
      <c r="M334" s="4">
        <f t="shared" si="68"/>
        <v>0</v>
      </c>
      <c r="N334">
        <f t="shared" si="69"/>
        <v>0</v>
      </c>
      <c r="O334" cm="1">
        <f t="array" ref="O334:Q334">_xlfn.XLOOKUP(C334, X$2:X$7, AG$2:AI$7)</f>
        <v>55.4</v>
      </c>
      <c r="P334">
        <v>-0.253</v>
      </c>
      <c r="Q334">
        <v>0</v>
      </c>
      <c r="R334">
        <f t="shared" si="70"/>
        <v>5.0343367218836946E-9</v>
      </c>
      <c r="S334" s="4">
        <f t="shared" si="71"/>
        <v>1</v>
      </c>
      <c r="T334">
        <f t="shared" si="72"/>
        <v>-1</v>
      </c>
      <c r="U334">
        <f t="shared" si="73"/>
        <v>-1</v>
      </c>
    </row>
    <row r="335" spans="1:21">
      <c r="A335" t="s">
        <v>556</v>
      </c>
      <c r="B335" t="s">
        <v>86</v>
      </c>
      <c r="C335" t="s">
        <v>729</v>
      </c>
      <c r="D335" s="1">
        <v>99</v>
      </c>
      <c r="E335" s="1">
        <f t="shared" si="62"/>
        <v>82.5</v>
      </c>
      <c r="F335">
        <v>10.4</v>
      </c>
      <c r="G335" s="1">
        <v>116</v>
      </c>
      <c r="H335">
        <f t="shared" si="63"/>
        <v>-72.099999999999994</v>
      </c>
      <c r="I335">
        <f t="shared" si="64"/>
        <v>-4.2411764705882353</v>
      </c>
      <c r="J335">
        <f t="shared" si="65"/>
        <v>0</v>
      </c>
      <c r="K335">
        <f t="shared" si="66"/>
        <v>1.0909252297006058</v>
      </c>
      <c r="L335">
        <f t="shared" si="67"/>
        <v>0</v>
      </c>
      <c r="M335" s="4">
        <f t="shared" si="68"/>
        <v>0</v>
      </c>
      <c r="N335">
        <f t="shared" si="69"/>
        <v>0</v>
      </c>
      <c r="O335" cm="1">
        <f t="array" ref="O335:Q335">_xlfn.XLOOKUP(C335, X$2:X$7, AG$2:AI$7)</f>
        <v>55.4</v>
      </c>
      <c r="P335">
        <v>-0.253</v>
      </c>
      <c r="Q335">
        <v>0</v>
      </c>
      <c r="R335">
        <f t="shared" si="70"/>
        <v>1.1611976971381064E-11</v>
      </c>
      <c r="S335" s="4">
        <f t="shared" si="71"/>
        <v>1</v>
      </c>
      <c r="T335">
        <f t="shared" si="72"/>
        <v>-1</v>
      </c>
      <c r="U335">
        <f t="shared" si="73"/>
        <v>-1</v>
      </c>
    </row>
    <row r="336" spans="1:21">
      <c r="A336" t="s">
        <v>258</v>
      </c>
      <c r="B336" t="s">
        <v>86</v>
      </c>
      <c r="C336" t="s">
        <v>407</v>
      </c>
      <c r="D336" s="1">
        <v>116.9</v>
      </c>
      <c r="E336" s="1">
        <f t="shared" si="62"/>
        <v>93.4</v>
      </c>
      <c r="F336">
        <v>62.6</v>
      </c>
      <c r="G336" s="1">
        <v>99</v>
      </c>
      <c r="H336">
        <f t="shared" si="63"/>
        <v>-30.800000000000004</v>
      </c>
      <c r="I336">
        <f t="shared" si="64"/>
        <v>-1.8117647058823532</v>
      </c>
      <c r="J336">
        <f t="shared" si="65"/>
        <v>0</v>
      </c>
      <c r="K336">
        <f t="shared" si="66"/>
        <v>0.94226603101549489</v>
      </c>
      <c r="L336">
        <f t="shared" si="67"/>
        <v>0</v>
      </c>
      <c r="M336" s="4">
        <f t="shared" si="68"/>
        <v>0</v>
      </c>
      <c r="N336">
        <f t="shared" si="69"/>
        <v>0</v>
      </c>
      <c r="O336" cm="1">
        <f t="array" ref="O336:Q336">_xlfn.XLOOKUP(C336, X$2:X$7, AG$2:AI$7)</f>
        <v>57.8</v>
      </c>
      <c r="P336">
        <v>-6.4299999999999996E-2</v>
      </c>
      <c r="Q336">
        <v>0</v>
      </c>
      <c r="R336">
        <f t="shared" si="70"/>
        <v>0.11598726585459877</v>
      </c>
      <c r="S336" s="4">
        <f t="shared" si="71"/>
        <v>1</v>
      </c>
      <c r="T336">
        <f t="shared" si="72"/>
        <v>-1</v>
      </c>
      <c r="U336">
        <f t="shared" si="73"/>
        <v>-1</v>
      </c>
    </row>
    <row r="337" spans="1:21">
      <c r="A337" t="s">
        <v>267</v>
      </c>
      <c r="B337" t="s">
        <v>86</v>
      </c>
      <c r="C337" t="s">
        <v>407</v>
      </c>
      <c r="D337" s="1">
        <v>116.9</v>
      </c>
      <c r="E337" s="1">
        <f t="shared" si="62"/>
        <v>93.4</v>
      </c>
      <c r="F337">
        <v>54.7</v>
      </c>
      <c r="G337" s="1">
        <v>108</v>
      </c>
      <c r="H337">
        <f t="shared" si="63"/>
        <v>-38.700000000000003</v>
      </c>
      <c r="I337">
        <f t="shared" si="64"/>
        <v>-2.2764705882352945</v>
      </c>
      <c r="J337">
        <f t="shared" si="65"/>
        <v>0</v>
      </c>
      <c r="K337">
        <f t="shared" si="66"/>
        <v>0.94226603101549489</v>
      </c>
      <c r="L337">
        <f t="shared" si="67"/>
        <v>0</v>
      </c>
      <c r="M337" s="4">
        <f t="shared" si="68"/>
        <v>0</v>
      </c>
      <c r="N337">
        <f t="shared" si="69"/>
        <v>0</v>
      </c>
      <c r="O337" cm="1">
        <f t="array" ref="O337:Q337">_xlfn.XLOOKUP(C337, X$2:X$7, AG$2:AI$7)</f>
        <v>57.8</v>
      </c>
      <c r="P337">
        <v>-6.4299999999999996E-2</v>
      </c>
      <c r="Q337">
        <v>0</v>
      </c>
      <c r="R337">
        <f t="shared" si="70"/>
        <v>6.5025558998279734E-2</v>
      </c>
      <c r="S337" s="4">
        <f t="shared" si="71"/>
        <v>1</v>
      </c>
      <c r="T337">
        <f t="shared" si="72"/>
        <v>-1</v>
      </c>
      <c r="U337">
        <f t="shared" si="73"/>
        <v>-1</v>
      </c>
    </row>
    <row r="338" spans="1:21">
      <c r="A338" t="s">
        <v>326</v>
      </c>
      <c r="B338" t="s">
        <v>86</v>
      </c>
      <c r="C338" t="s">
        <v>407</v>
      </c>
      <c r="D338" s="1">
        <v>116.9</v>
      </c>
      <c r="E338" s="1">
        <f t="shared" si="62"/>
        <v>93.4</v>
      </c>
      <c r="F338">
        <v>15.1</v>
      </c>
      <c r="G338" s="1">
        <v>167</v>
      </c>
      <c r="H338">
        <f t="shared" si="63"/>
        <v>-78.300000000000011</v>
      </c>
      <c r="I338">
        <f t="shared" si="64"/>
        <v>-4.605882352941177</v>
      </c>
      <c r="J338">
        <f t="shared" si="65"/>
        <v>0</v>
      </c>
      <c r="K338">
        <f t="shared" si="66"/>
        <v>0.94226603101549489</v>
      </c>
      <c r="L338">
        <f t="shared" si="67"/>
        <v>0</v>
      </c>
      <c r="M338" s="4">
        <f t="shared" si="68"/>
        <v>0</v>
      </c>
      <c r="N338">
        <f t="shared" si="69"/>
        <v>0</v>
      </c>
      <c r="O338" cm="1">
        <f t="array" ref="O338:Q338">_xlfn.XLOOKUP(C338, X$2:X$7, AG$2:AI$7)</f>
        <v>57.8</v>
      </c>
      <c r="P338">
        <v>-6.4299999999999996E-2</v>
      </c>
      <c r="Q338">
        <v>0</v>
      </c>
      <c r="R338">
        <f t="shared" si="70"/>
        <v>1.4638653071078036E-3</v>
      </c>
      <c r="S338" s="4">
        <f t="shared" si="71"/>
        <v>1</v>
      </c>
      <c r="T338">
        <f t="shared" si="72"/>
        <v>-1</v>
      </c>
      <c r="U338">
        <f t="shared" si="73"/>
        <v>-1</v>
      </c>
    </row>
    <row r="339" spans="1:21">
      <c r="A339" t="s">
        <v>374</v>
      </c>
      <c r="B339" t="s">
        <v>86</v>
      </c>
      <c r="C339" t="s">
        <v>407</v>
      </c>
      <c r="D339" s="1">
        <v>116.9</v>
      </c>
      <c r="E339" s="1">
        <f t="shared" si="62"/>
        <v>93.4</v>
      </c>
      <c r="F339">
        <v>6.8</v>
      </c>
      <c r="G339" s="1">
        <v>215</v>
      </c>
      <c r="H339">
        <f t="shared" si="63"/>
        <v>-86.600000000000009</v>
      </c>
      <c r="I339">
        <f t="shared" si="64"/>
        <v>-5.0941176470588241</v>
      </c>
      <c r="J339">
        <f t="shared" si="65"/>
        <v>0</v>
      </c>
      <c r="K339">
        <f t="shared" si="66"/>
        <v>0.94226603101549489</v>
      </c>
      <c r="L339">
        <f t="shared" si="67"/>
        <v>0</v>
      </c>
      <c r="M339" s="4">
        <f t="shared" si="68"/>
        <v>0</v>
      </c>
      <c r="N339">
        <f t="shared" si="69"/>
        <v>0</v>
      </c>
      <c r="O339" cm="1">
        <f t="array" ref="O339:Q339">_xlfn.XLOOKUP(C339, X$2:X$7, AG$2:AI$7)</f>
        <v>57.8</v>
      </c>
      <c r="P339">
        <v>-6.4299999999999996E-2</v>
      </c>
      <c r="Q339">
        <v>0</v>
      </c>
      <c r="R339">
        <f t="shared" si="70"/>
        <v>6.6848956038379682E-5</v>
      </c>
      <c r="S339" s="4">
        <f t="shared" si="71"/>
        <v>1</v>
      </c>
      <c r="T339">
        <f t="shared" si="72"/>
        <v>-1</v>
      </c>
      <c r="U339">
        <f t="shared" si="73"/>
        <v>-1</v>
      </c>
    </row>
    <row r="340" spans="1:21">
      <c r="A340" t="s">
        <v>136</v>
      </c>
      <c r="B340" t="s">
        <v>50</v>
      </c>
      <c r="C340" t="s">
        <v>159</v>
      </c>
      <c r="D340" s="1">
        <v>228</v>
      </c>
      <c r="E340" s="1">
        <f t="shared" si="62"/>
        <v>190</v>
      </c>
      <c r="F340">
        <v>17.5</v>
      </c>
      <c r="G340" s="1">
        <v>66</v>
      </c>
      <c r="H340">
        <f t="shared" si="63"/>
        <v>-172.5</v>
      </c>
      <c r="I340">
        <f t="shared" si="64"/>
        <v>-10.147058823529411</v>
      </c>
      <c r="J340">
        <f t="shared" si="65"/>
        <v>0</v>
      </c>
      <c r="K340">
        <f t="shared" si="66"/>
        <v>0.57566309754037293</v>
      </c>
      <c r="L340">
        <f t="shared" si="67"/>
        <v>0</v>
      </c>
      <c r="M340" s="4">
        <f t="shared" si="68"/>
        <v>0</v>
      </c>
      <c r="N340">
        <f t="shared" si="69"/>
        <v>0</v>
      </c>
      <c r="O340" cm="1">
        <f t="array" ref="O340:Q340">_xlfn.XLOOKUP(C340, X$2:X$7, AG$2:AI$7)</f>
        <v>56.4</v>
      </c>
      <c r="P340">
        <v>-0.16300000000000001</v>
      </c>
      <c r="Q340">
        <v>0</v>
      </c>
      <c r="R340">
        <f t="shared" si="70"/>
        <v>1.400264000725534E-3</v>
      </c>
      <c r="S340" s="4">
        <f t="shared" si="71"/>
        <v>1</v>
      </c>
      <c r="T340">
        <f t="shared" si="72"/>
        <v>-1</v>
      </c>
      <c r="U340">
        <f t="shared" si="73"/>
        <v>-1</v>
      </c>
    </row>
    <row r="341" spans="1:21">
      <c r="A341" t="s">
        <v>514</v>
      </c>
      <c r="B341" t="s">
        <v>50</v>
      </c>
      <c r="C341" t="s">
        <v>586</v>
      </c>
      <c r="D341" s="1">
        <v>107.9</v>
      </c>
      <c r="E341" s="1">
        <f t="shared" si="62"/>
        <v>73</v>
      </c>
      <c r="F341">
        <v>23.7</v>
      </c>
      <c r="G341" s="1">
        <v>107</v>
      </c>
      <c r="H341">
        <f t="shared" si="63"/>
        <v>-49.3</v>
      </c>
      <c r="I341">
        <f t="shared" si="64"/>
        <v>-2.9</v>
      </c>
      <c r="J341">
        <f t="shared" si="65"/>
        <v>0</v>
      </c>
      <c r="K341">
        <f t="shared" si="66"/>
        <v>1.0011070456397422</v>
      </c>
      <c r="L341">
        <f t="shared" si="67"/>
        <v>0</v>
      </c>
      <c r="M341" s="4">
        <f t="shared" si="68"/>
        <v>0</v>
      </c>
      <c r="N341">
        <f t="shared" si="69"/>
        <v>0</v>
      </c>
      <c r="O341" cm="1">
        <f t="array" ref="O341:Q341">_xlfn.XLOOKUP(C341, X$2:X$7, AG$2:AI$7)</f>
        <v>5.0900000000000001E-2</v>
      </c>
      <c r="P341">
        <v>-3.9</v>
      </c>
      <c r="Q341">
        <v>73.900000000000006</v>
      </c>
      <c r="R341">
        <f t="shared" si="70"/>
        <v>279.32623469999999</v>
      </c>
      <c r="S341" s="4">
        <f t="shared" si="71"/>
        <v>1</v>
      </c>
      <c r="T341">
        <f t="shared" si="72"/>
        <v>-1</v>
      </c>
      <c r="U341">
        <f t="shared" si="73"/>
        <v>-1</v>
      </c>
    </row>
    <row r="342" spans="1:21">
      <c r="A342" t="s">
        <v>551</v>
      </c>
      <c r="B342" t="s">
        <v>50</v>
      </c>
      <c r="C342" t="s">
        <v>586</v>
      </c>
      <c r="D342" s="1">
        <v>107.9</v>
      </c>
      <c r="E342" s="1">
        <f t="shared" si="62"/>
        <v>73</v>
      </c>
      <c r="F342">
        <v>10.199999999999999</v>
      </c>
      <c r="G342" s="1">
        <v>146</v>
      </c>
      <c r="H342">
        <f t="shared" si="63"/>
        <v>-62.8</v>
      </c>
      <c r="I342">
        <f t="shared" si="64"/>
        <v>-3.6941176470588233</v>
      </c>
      <c r="J342">
        <f t="shared" si="65"/>
        <v>0</v>
      </c>
      <c r="K342">
        <f t="shared" si="66"/>
        <v>1.0011070456397422</v>
      </c>
      <c r="L342">
        <f t="shared" si="67"/>
        <v>0</v>
      </c>
      <c r="M342" s="4">
        <f t="shared" si="68"/>
        <v>0</v>
      </c>
      <c r="N342">
        <f t="shared" si="69"/>
        <v>0</v>
      </c>
      <c r="O342" cm="1">
        <f t="array" ref="O342:Q342">_xlfn.XLOOKUP(C342, X$2:X$7, AG$2:AI$7)</f>
        <v>5.0900000000000001E-2</v>
      </c>
      <c r="P342">
        <v>-3.9</v>
      </c>
      <c r="Q342">
        <v>73.900000000000006</v>
      </c>
      <c r="R342">
        <f t="shared" si="70"/>
        <v>687.92829480000012</v>
      </c>
      <c r="S342" s="4">
        <f t="shared" si="71"/>
        <v>1</v>
      </c>
      <c r="T342">
        <f t="shared" si="72"/>
        <v>-1</v>
      </c>
      <c r="U342">
        <f t="shared" si="73"/>
        <v>-1</v>
      </c>
    </row>
    <row r="343" spans="1:21">
      <c r="A343" t="s">
        <v>571</v>
      </c>
      <c r="B343" t="s">
        <v>50</v>
      </c>
      <c r="C343" t="s">
        <v>586</v>
      </c>
      <c r="D343" s="1">
        <v>107.9</v>
      </c>
      <c r="E343" s="1">
        <f t="shared" si="62"/>
        <v>73</v>
      </c>
      <c r="F343">
        <v>5.3</v>
      </c>
      <c r="G343" s="1">
        <v>166</v>
      </c>
      <c r="H343">
        <f t="shared" si="63"/>
        <v>-67.7</v>
      </c>
      <c r="I343">
        <f t="shared" si="64"/>
        <v>-3.9823529411764707</v>
      </c>
      <c r="J343">
        <f t="shared" si="65"/>
        <v>0</v>
      </c>
      <c r="K343">
        <f t="shared" si="66"/>
        <v>1.0011070456397422</v>
      </c>
      <c r="L343">
        <f t="shared" si="67"/>
        <v>0</v>
      </c>
      <c r="M343" s="4">
        <f t="shared" si="68"/>
        <v>0</v>
      </c>
      <c r="N343">
        <f t="shared" si="69"/>
        <v>0</v>
      </c>
      <c r="O343" cm="1">
        <f t="array" ref="O343:Q343">_xlfn.XLOOKUP(C343, X$2:X$7, AG$2:AI$7)</f>
        <v>5.0900000000000001E-2</v>
      </c>
      <c r="P343">
        <v>-3.9</v>
      </c>
      <c r="Q343">
        <v>73.900000000000006</v>
      </c>
      <c r="R343">
        <f t="shared" si="70"/>
        <v>967.56016680000005</v>
      </c>
      <c r="S343" s="4">
        <f t="shared" si="71"/>
        <v>1</v>
      </c>
      <c r="T343">
        <f t="shared" si="72"/>
        <v>-1</v>
      </c>
      <c r="U343">
        <f t="shared" si="73"/>
        <v>-1</v>
      </c>
    </row>
    <row r="344" spans="1:21">
      <c r="A344" t="s">
        <v>632</v>
      </c>
      <c r="B344" t="s">
        <v>50</v>
      </c>
      <c r="C344" t="s">
        <v>729</v>
      </c>
      <c r="D344" s="1">
        <v>99</v>
      </c>
      <c r="E344" s="1">
        <f t="shared" si="62"/>
        <v>82.5</v>
      </c>
      <c r="F344">
        <v>38.700000000000003</v>
      </c>
      <c r="G344" s="1">
        <v>46</v>
      </c>
      <c r="H344">
        <f t="shared" si="63"/>
        <v>-43.8</v>
      </c>
      <c r="I344">
        <f t="shared" si="64"/>
        <v>-2.5764705882352938</v>
      </c>
      <c r="J344">
        <f t="shared" si="65"/>
        <v>0</v>
      </c>
      <c r="K344">
        <f t="shared" si="66"/>
        <v>1.0909252297006058</v>
      </c>
      <c r="L344">
        <f t="shared" si="67"/>
        <v>0</v>
      </c>
      <c r="M344" s="4">
        <f t="shared" si="68"/>
        <v>0</v>
      </c>
      <c r="N344">
        <f t="shared" si="69"/>
        <v>0</v>
      </c>
      <c r="O344" cm="1">
        <f t="array" ref="O344:Q344">_xlfn.XLOOKUP(C344, X$2:X$7, AG$2:AI$7)</f>
        <v>55.4</v>
      </c>
      <c r="P344">
        <v>-0.253</v>
      </c>
      <c r="Q344">
        <v>0</v>
      </c>
      <c r="R344">
        <f t="shared" si="70"/>
        <v>5.7050760807887582E-4</v>
      </c>
      <c r="S344" s="4">
        <f t="shared" si="71"/>
        <v>1</v>
      </c>
      <c r="T344">
        <f t="shared" si="72"/>
        <v>-1</v>
      </c>
      <c r="U344">
        <f t="shared" si="73"/>
        <v>-1</v>
      </c>
    </row>
    <row r="345" spans="1:21">
      <c r="A345" t="s">
        <v>677</v>
      </c>
      <c r="B345" t="s">
        <v>50</v>
      </c>
      <c r="C345" t="s">
        <v>729</v>
      </c>
      <c r="D345" s="1">
        <v>99</v>
      </c>
      <c r="E345" s="1">
        <f t="shared" si="62"/>
        <v>82.5</v>
      </c>
      <c r="F345">
        <v>16.399999999999999</v>
      </c>
      <c r="G345" s="1">
        <v>91</v>
      </c>
      <c r="H345">
        <f t="shared" si="63"/>
        <v>-66.099999999999994</v>
      </c>
      <c r="I345">
        <f t="shared" si="64"/>
        <v>-3.8882352941176466</v>
      </c>
      <c r="J345">
        <f t="shared" si="65"/>
        <v>0</v>
      </c>
      <c r="K345">
        <f t="shared" si="66"/>
        <v>1.0909252297006058</v>
      </c>
      <c r="L345">
        <f t="shared" si="67"/>
        <v>0</v>
      </c>
      <c r="M345" s="4">
        <f t="shared" si="68"/>
        <v>0</v>
      </c>
      <c r="N345">
        <f t="shared" si="69"/>
        <v>0</v>
      </c>
      <c r="O345" cm="1">
        <f t="array" ref="O345:Q345">_xlfn.XLOOKUP(C345, X$2:X$7, AG$2:AI$7)</f>
        <v>55.4</v>
      </c>
      <c r="P345">
        <v>-0.253</v>
      </c>
      <c r="Q345">
        <v>0</v>
      </c>
      <c r="R345">
        <f t="shared" si="70"/>
        <v>6.483638074068485E-9</v>
      </c>
      <c r="S345" s="4">
        <f t="shared" si="71"/>
        <v>1</v>
      </c>
      <c r="T345">
        <f t="shared" si="72"/>
        <v>-1</v>
      </c>
      <c r="U345">
        <f t="shared" si="73"/>
        <v>-1</v>
      </c>
    </row>
    <row r="346" spans="1:21">
      <c r="A346" t="s">
        <v>727</v>
      </c>
      <c r="B346" t="s">
        <v>50</v>
      </c>
      <c r="C346" t="s">
        <v>729</v>
      </c>
      <c r="D346" s="1">
        <v>99</v>
      </c>
      <c r="E346" s="1">
        <f t="shared" si="62"/>
        <v>82.5</v>
      </c>
      <c r="F346">
        <v>0</v>
      </c>
      <c r="G346" s="1">
        <v>143</v>
      </c>
      <c r="H346">
        <f t="shared" si="63"/>
        <v>-82.5</v>
      </c>
      <c r="I346">
        <f t="shared" si="64"/>
        <v>-4.8529411764705879</v>
      </c>
      <c r="J346">
        <f t="shared" si="65"/>
        <v>0</v>
      </c>
      <c r="K346">
        <f t="shared" si="66"/>
        <v>1.0909252297006058</v>
      </c>
      <c r="L346">
        <f t="shared" si="67"/>
        <v>0</v>
      </c>
      <c r="M346" s="4">
        <f t="shared" si="68"/>
        <v>0</v>
      </c>
      <c r="N346">
        <f t="shared" si="69"/>
        <v>0</v>
      </c>
      <c r="O346" cm="1">
        <f t="array" ref="O346:Q346">_xlfn.XLOOKUP(C346, X$2:X$7, AG$2:AI$7)</f>
        <v>55.4</v>
      </c>
      <c r="P346">
        <v>-0.253</v>
      </c>
      <c r="Q346">
        <v>0</v>
      </c>
      <c r="R346">
        <f t="shared" si="70"/>
        <v>1.2538354944727534E-14</v>
      </c>
      <c r="S346" s="4">
        <f t="shared" si="71"/>
        <v>1</v>
      </c>
      <c r="T346">
        <f t="shared" si="72"/>
        <v>-1</v>
      </c>
      <c r="U346">
        <f t="shared" si="73"/>
        <v>-1</v>
      </c>
    </row>
    <row r="347" spans="1:21">
      <c r="A347" t="s">
        <v>239</v>
      </c>
      <c r="B347" t="s">
        <v>50</v>
      </c>
      <c r="C347" t="s">
        <v>407</v>
      </c>
      <c r="D347" s="1">
        <v>116.9</v>
      </c>
      <c r="E347" s="1">
        <f t="shared" si="62"/>
        <v>93.4</v>
      </c>
      <c r="F347">
        <v>88</v>
      </c>
      <c r="G347" s="1">
        <v>80</v>
      </c>
      <c r="H347">
        <f t="shared" si="63"/>
        <v>-5.4000000000000057</v>
      </c>
      <c r="I347">
        <f t="shared" si="64"/>
        <v>-0.31764705882352973</v>
      </c>
      <c r="J347">
        <f t="shared" si="65"/>
        <v>0</v>
      </c>
      <c r="K347">
        <f t="shared" si="66"/>
        <v>0.94226603101549489</v>
      </c>
      <c r="L347">
        <f t="shared" si="67"/>
        <v>0</v>
      </c>
      <c r="M347" s="4">
        <f t="shared" si="68"/>
        <v>0</v>
      </c>
      <c r="N347">
        <f t="shared" si="69"/>
        <v>0</v>
      </c>
      <c r="O347" cm="1">
        <f t="array" ref="O347:Q347">_xlfn.XLOOKUP(C347, X$2:X$7, AG$2:AI$7)</f>
        <v>57.8</v>
      </c>
      <c r="P347">
        <v>-6.4299999999999996E-2</v>
      </c>
      <c r="Q347">
        <v>0</v>
      </c>
      <c r="R347">
        <f t="shared" si="70"/>
        <v>0.39353909227395684</v>
      </c>
      <c r="S347" s="4">
        <f t="shared" si="71"/>
        <v>1</v>
      </c>
      <c r="T347">
        <f t="shared" si="72"/>
        <v>-1</v>
      </c>
      <c r="U347">
        <f t="shared" si="73"/>
        <v>-1</v>
      </c>
    </row>
    <row r="348" spans="1:21">
      <c r="A348" t="s">
        <v>310</v>
      </c>
      <c r="B348" t="s">
        <v>50</v>
      </c>
      <c r="C348" t="s">
        <v>407</v>
      </c>
      <c r="D348" s="1">
        <v>116.9</v>
      </c>
      <c r="E348" s="1">
        <f t="shared" si="62"/>
        <v>93.4</v>
      </c>
      <c r="F348">
        <v>20.7</v>
      </c>
      <c r="G348" s="1">
        <v>151</v>
      </c>
      <c r="H348">
        <f t="shared" si="63"/>
        <v>-72.7</v>
      </c>
      <c r="I348">
        <f t="shared" si="64"/>
        <v>-4.276470588235294</v>
      </c>
      <c r="J348">
        <f t="shared" si="65"/>
        <v>0</v>
      </c>
      <c r="K348">
        <f t="shared" si="66"/>
        <v>0.94226603101549489</v>
      </c>
      <c r="L348">
        <f t="shared" si="67"/>
        <v>0</v>
      </c>
      <c r="M348" s="4">
        <f t="shared" si="68"/>
        <v>0</v>
      </c>
      <c r="N348">
        <f t="shared" si="69"/>
        <v>0</v>
      </c>
      <c r="O348" cm="1">
        <f t="array" ref="O348:Q348">_xlfn.XLOOKUP(C348, X$2:X$7, AG$2:AI$7)</f>
        <v>57.8</v>
      </c>
      <c r="P348">
        <v>-6.4299999999999996E-2</v>
      </c>
      <c r="Q348">
        <v>0</v>
      </c>
      <c r="R348">
        <f t="shared" si="70"/>
        <v>4.0954655897182104E-3</v>
      </c>
      <c r="S348" s="4">
        <f t="shared" si="71"/>
        <v>1</v>
      </c>
      <c r="T348">
        <f t="shared" si="72"/>
        <v>-1</v>
      </c>
      <c r="U348">
        <f t="shared" si="73"/>
        <v>-1</v>
      </c>
    </row>
    <row r="349" spans="1:21">
      <c r="A349" t="s">
        <v>322</v>
      </c>
      <c r="B349" t="s">
        <v>50</v>
      </c>
      <c r="C349" t="s">
        <v>407</v>
      </c>
      <c r="D349" s="1">
        <v>116.9</v>
      </c>
      <c r="E349" s="1">
        <f t="shared" si="62"/>
        <v>93.4</v>
      </c>
      <c r="F349">
        <v>16.7</v>
      </c>
      <c r="G349" s="1">
        <v>163</v>
      </c>
      <c r="H349">
        <f t="shared" si="63"/>
        <v>-76.7</v>
      </c>
      <c r="I349">
        <f t="shared" si="64"/>
        <v>-4.5117647058823529</v>
      </c>
      <c r="J349">
        <f t="shared" si="65"/>
        <v>0</v>
      </c>
      <c r="K349">
        <f t="shared" si="66"/>
        <v>0.94226603101549489</v>
      </c>
      <c r="L349">
        <f t="shared" si="67"/>
        <v>0</v>
      </c>
      <c r="M349" s="4">
        <f t="shared" si="68"/>
        <v>0</v>
      </c>
      <c r="N349">
        <f t="shared" si="69"/>
        <v>0</v>
      </c>
      <c r="O349" cm="1">
        <f t="array" ref="O349:Q349">_xlfn.XLOOKUP(C349, X$2:X$7, AG$2:AI$7)</f>
        <v>57.8</v>
      </c>
      <c r="P349">
        <v>-6.4299999999999996E-2</v>
      </c>
      <c r="Q349">
        <v>0</v>
      </c>
      <c r="R349">
        <f t="shared" si="70"/>
        <v>1.8932225082275479E-3</v>
      </c>
      <c r="S349" s="4">
        <f t="shared" si="71"/>
        <v>1</v>
      </c>
      <c r="T349">
        <f t="shared" si="72"/>
        <v>-1</v>
      </c>
      <c r="U349">
        <f t="shared" si="73"/>
        <v>-1</v>
      </c>
    </row>
    <row r="350" spans="1:21">
      <c r="A350" t="s">
        <v>393</v>
      </c>
      <c r="B350" t="s">
        <v>50</v>
      </c>
      <c r="C350" t="s">
        <v>407</v>
      </c>
      <c r="D350" s="1">
        <v>116.9</v>
      </c>
      <c r="E350" s="1">
        <f t="shared" si="62"/>
        <v>93.4</v>
      </c>
      <c r="F350">
        <v>5.2</v>
      </c>
      <c r="G350" s="1">
        <v>234</v>
      </c>
      <c r="H350">
        <f t="shared" si="63"/>
        <v>-88.2</v>
      </c>
      <c r="I350">
        <f t="shared" si="64"/>
        <v>-5.1882352941176473</v>
      </c>
      <c r="J350">
        <f t="shared" si="65"/>
        <v>0</v>
      </c>
      <c r="K350">
        <f t="shared" si="66"/>
        <v>0.94226603101549489</v>
      </c>
      <c r="L350">
        <f t="shared" si="67"/>
        <v>0</v>
      </c>
      <c r="M350" s="4">
        <f t="shared" si="68"/>
        <v>0</v>
      </c>
      <c r="N350">
        <f t="shared" si="69"/>
        <v>0</v>
      </c>
      <c r="O350" cm="1">
        <f t="array" ref="O350:Q350">_xlfn.XLOOKUP(C350, X$2:X$7, AG$2:AI$7)</f>
        <v>57.8</v>
      </c>
      <c r="P350">
        <v>-6.4299999999999996E-2</v>
      </c>
      <c r="Q350">
        <v>0</v>
      </c>
      <c r="R350">
        <f t="shared" si="70"/>
        <v>1.9702306043660699E-5</v>
      </c>
      <c r="S350" s="4">
        <f t="shared" si="71"/>
        <v>1</v>
      </c>
      <c r="T350">
        <f t="shared" si="72"/>
        <v>-1</v>
      </c>
      <c r="U350">
        <f t="shared" si="73"/>
        <v>-1</v>
      </c>
    </row>
    <row r="351" spans="1:21">
      <c r="A351" t="s">
        <v>395</v>
      </c>
      <c r="B351" t="s">
        <v>50</v>
      </c>
      <c r="C351" t="s">
        <v>407</v>
      </c>
      <c r="D351" s="1">
        <v>116.9</v>
      </c>
      <c r="E351" s="1">
        <f t="shared" si="62"/>
        <v>93.4</v>
      </c>
      <c r="F351">
        <v>5.2</v>
      </c>
      <c r="G351" s="1">
        <v>236</v>
      </c>
      <c r="H351">
        <f t="shared" si="63"/>
        <v>-88.2</v>
      </c>
      <c r="I351">
        <f t="shared" si="64"/>
        <v>-5.1882352941176473</v>
      </c>
      <c r="J351">
        <f t="shared" si="65"/>
        <v>0</v>
      </c>
      <c r="K351">
        <f t="shared" si="66"/>
        <v>0.94226603101549489</v>
      </c>
      <c r="L351">
        <f t="shared" si="67"/>
        <v>0</v>
      </c>
      <c r="M351" s="4">
        <f t="shared" si="68"/>
        <v>0</v>
      </c>
      <c r="N351">
        <f t="shared" si="69"/>
        <v>0</v>
      </c>
      <c r="O351" cm="1">
        <f t="array" ref="O351:Q351">_xlfn.XLOOKUP(C351, X$2:X$7, AG$2:AI$7)</f>
        <v>57.8</v>
      </c>
      <c r="P351">
        <v>-6.4299999999999996E-2</v>
      </c>
      <c r="Q351">
        <v>0</v>
      </c>
      <c r="R351">
        <f t="shared" si="70"/>
        <v>1.7324742584828445E-5</v>
      </c>
      <c r="S351" s="4">
        <f t="shared" si="71"/>
        <v>1</v>
      </c>
      <c r="T351">
        <f t="shared" si="72"/>
        <v>-1</v>
      </c>
      <c r="U351">
        <f t="shared" si="73"/>
        <v>-1</v>
      </c>
    </row>
    <row r="352" spans="1:21">
      <c r="A352" t="s">
        <v>403</v>
      </c>
      <c r="B352" t="s">
        <v>50</v>
      </c>
      <c r="C352" t="s">
        <v>407</v>
      </c>
      <c r="D352" s="1">
        <v>116.9</v>
      </c>
      <c r="E352" s="1">
        <f t="shared" si="62"/>
        <v>93.4</v>
      </c>
      <c r="F352">
        <v>0</v>
      </c>
      <c r="G352" s="1">
        <v>244</v>
      </c>
      <c r="H352">
        <f t="shared" si="63"/>
        <v>-93.4</v>
      </c>
      <c r="I352">
        <f t="shared" si="64"/>
        <v>-5.4941176470588236</v>
      </c>
      <c r="J352">
        <f t="shared" si="65"/>
        <v>0</v>
      </c>
      <c r="K352">
        <f t="shared" si="66"/>
        <v>0.94226603101549489</v>
      </c>
      <c r="L352">
        <f t="shared" si="67"/>
        <v>0</v>
      </c>
      <c r="M352" s="4">
        <f t="shared" si="68"/>
        <v>0</v>
      </c>
      <c r="N352">
        <f t="shared" si="69"/>
        <v>0</v>
      </c>
      <c r="O352" cm="1">
        <f t="array" ref="O352:Q352">_xlfn.XLOOKUP(C352, X$2:X$7, AG$2:AI$7)</f>
        <v>57.8</v>
      </c>
      <c r="P352">
        <v>-6.4299999999999996E-2</v>
      </c>
      <c r="Q352">
        <v>0</v>
      </c>
      <c r="R352">
        <f t="shared" si="70"/>
        <v>1.0357756786091153E-5</v>
      </c>
      <c r="S352" s="4">
        <f t="shared" si="71"/>
        <v>1</v>
      </c>
      <c r="T352">
        <f t="shared" si="72"/>
        <v>-1</v>
      </c>
      <c r="U352">
        <f t="shared" si="73"/>
        <v>-1</v>
      </c>
    </row>
    <row r="353" spans="1:21">
      <c r="A353" t="s">
        <v>128</v>
      </c>
      <c r="B353" t="s">
        <v>48</v>
      </c>
      <c r="C353" t="s">
        <v>159</v>
      </c>
      <c r="D353" s="1">
        <v>228</v>
      </c>
      <c r="E353" s="1">
        <f t="shared" si="62"/>
        <v>190</v>
      </c>
      <c r="F353">
        <v>19.100000000000001</v>
      </c>
      <c r="G353" s="1">
        <v>58</v>
      </c>
      <c r="H353">
        <f t="shared" si="63"/>
        <v>-170.9</v>
      </c>
      <c r="I353">
        <f t="shared" si="64"/>
        <v>-10.052941176470588</v>
      </c>
      <c r="J353">
        <f t="shared" si="65"/>
        <v>0</v>
      </c>
      <c r="K353">
        <f t="shared" si="66"/>
        <v>0.57566309754037293</v>
      </c>
      <c r="L353">
        <f t="shared" si="67"/>
        <v>0</v>
      </c>
      <c r="M353" s="4">
        <f t="shared" si="68"/>
        <v>0</v>
      </c>
      <c r="N353">
        <f t="shared" si="69"/>
        <v>0</v>
      </c>
      <c r="O353" cm="1">
        <f t="array" ref="O353:Q353">_xlfn.XLOOKUP(C353, X$2:X$7, AG$2:AI$7)</f>
        <v>56.4</v>
      </c>
      <c r="P353">
        <v>-0.16300000000000001</v>
      </c>
      <c r="Q353">
        <v>0</v>
      </c>
      <c r="R353">
        <f t="shared" si="70"/>
        <v>5.1585771265082571E-3</v>
      </c>
      <c r="S353" s="4">
        <f t="shared" si="71"/>
        <v>1</v>
      </c>
      <c r="T353">
        <f t="shared" si="72"/>
        <v>-1</v>
      </c>
      <c r="U353">
        <f t="shared" si="73"/>
        <v>-1</v>
      </c>
    </row>
    <row r="354" spans="1:21">
      <c r="A354" t="s">
        <v>470</v>
      </c>
      <c r="B354" t="s">
        <v>48</v>
      </c>
      <c r="C354" t="s">
        <v>586</v>
      </c>
      <c r="D354" s="1">
        <v>107.9</v>
      </c>
      <c r="E354" s="1">
        <f t="shared" si="62"/>
        <v>73</v>
      </c>
      <c r="F354">
        <v>63.9</v>
      </c>
      <c r="G354" s="1">
        <v>63</v>
      </c>
      <c r="H354">
        <f t="shared" si="63"/>
        <v>-9.1000000000000014</v>
      </c>
      <c r="I354">
        <f t="shared" si="64"/>
        <v>-0.53529411764705892</v>
      </c>
      <c r="J354">
        <f t="shared" si="65"/>
        <v>0</v>
      </c>
      <c r="K354">
        <f t="shared" si="66"/>
        <v>1.0011070456397422</v>
      </c>
      <c r="L354">
        <f t="shared" si="67"/>
        <v>0</v>
      </c>
      <c r="M354" s="4">
        <f t="shared" si="68"/>
        <v>0</v>
      </c>
      <c r="N354">
        <f t="shared" si="69"/>
        <v>0</v>
      </c>
      <c r="O354" cm="1">
        <f t="array" ref="O354:Q354">_xlfn.XLOOKUP(C354, X$2:X$7, AG$2:AI$7)</f>
        <v>5.0900000000000001E-2</v>
      </c>
      <c r="P354">
        <v>-3.9</v>
      </c>
      <c r="Q354">
        <v>73.900000000000006</v>
      </c>
      <c r="R354">
        <f t="shared" si="70"/>
        <v>35.269190700000017</v>
      </c>
      <c r="S354" s="4">
        <f t="shared" si="71"/>
        <v>1</v>
      </c>
      <c r="T354">
        <f t="shared" si="72"/>
        <v>-1</v>
      </c>
      <c r="U354">
        <f t="shared" si="73"/>
        <v>-1</v>
      </c>
    </row>
    <row r="355" spans="1:21">
      <c r="A355" t="s">
        <v>493</v>
      </c>
      <c r="B355" t="s">
        <v>48</v>
      </c>
      <c r="C355" t="s">
        <v>586</v>
      </c>
      <c r="D355" s="1">
        <v>107.9</v>
      </c>
      <c r="E355" s="1">
        <f t="shared" si="62"/>
        <v>73</v>
      </c>
      <c r="F355">
        <v>33.299999999999997</v>
      </c>
      <c r="G355" s="1">
        <v>86</v>
      </c>
      <c r="H355">
        <f t="shared" si="63"/>
        <v>-39.700000000000003</v>
      </c>
      <c r="I355">
        <f t="shared" si="64"/>
        <v>-2.335294117647059</v>
      </c>
      <c r="J355">
        <f t="shared" si="65"/>
        <v>0</v>
      </c>
      <c r="K355">
        <f t="shared" si="66"/>
        <v>1.0011070456397422</v>
      </c>
      <c r="L355">
        <f t="shared" si="67"/>
        <v>0</v>
      </c>
      <c r="M355" s="4">
        <f t="shared" si="68"/>
        <v>0</v>
      </c>
      <c r="N355">
        <f t="shared" si="69"/>
        <v>0</v>
      </c>
      <c r="O355" cm="1">
        <f t="array" ref="O355:Q355">_xlfn.XLOOKUP(C355, X$2:X$7, AG$2:AI$7)</f>
        <v>5.0900000000000001E-2</v>
      </c>
      <c r="P355">
        <v>-3.9</v>
      </c>
      <c r="Q355">
        <v>73.900000000000006</v>
      </c>
      <c r="R355">
        <f t="shared" si="70"/>
        <v>134.15411880000008</v>
      </c>
      <c r="S355" s="4">
        <f t="shared" si="71"/>
        <v>1</v>
      </c>
      <c r="T355">
        <f t="shared" si="72"/>
        <v>-1</v>
      </c>
      <c r="U355">
        <f t="shared" si="73"/>
        <v>-1</v>
      </c>
    </row>
    <row r="356" spans="1:21">
      <c r="A356" t="s">
        <v>497</v>
      </c>
      <c r="B356" t="s">
        <v>48</v>
      </c>
      <c r="C356" t="s">
        <v>586</v>
      </c>
      <c r="D356" s="1">
        <v>107.9</v>
      </c>
      <c r="E356" s="1">
        <f t="shared" si="62"/>
        <v>73</v>
      </c>
      <c r="F356">
        <v>31.7</v>
      </c>
      <c r="G356" s="1">
        <v>90</v>
      </c>
      <c r="H356">
        <f t="shared" si="63"/>
        <v>-41.3</v>
      </c>
      <c r="I356">
        <f t="shared" si="64"/>
        <v>-2.4294117647058822</v>
      </c>
      <c r="J356">
        <f t="shared" si="65"/>
        <v>0</v>
      </c>
      <c r="K356">
        <f t="shared" si="66"/>
        <v>1.0011070456397422</v>
      </c>
      <c r="L356">
        <f t="shared" si="67"/>
        <v>0</v>
      </c>
      <c r="M356" s="4">
        <f t="shared" si="68"/>
        <v>0</v>
      </c>
      <c r="N356">
        <f t="shared" si="69"/>
        <v>0</v>
      </c>
      <c r="O356" cm="1">
        <f t="array" ref="O356:Q356">_xlfn.XLOOKUP(C356, X$2:X$7, AG$2:AI$7)</f>
        <v>5.0900000000000001E-2</v>
      </c>
      <c r="P356">
        <v>-3.9</v>
      </c>
      <c r="Q356">
        <v>73.900000000000006</v>
      </c>
      <c r="R356">
        <f t="shared" si="70"/>
        <v>157.76673000000002</v>
      </c>
      <c r="S356" s="4">
        <f t="shared" si="71"/>
        <v>1</v>
      </c>
      <c r="T356">
        <f t="shared" si="72"/>
        <v>-1</v>
      </c>
      <c r="U356">
        <f t="shared" si="73"/>
        <v>-1</v>
      </c>
    </row>
    <row r="357" spans="1:21">
      <c r="A357" t="s">
        <v>680</v>
      </c>
      <c r="B357" t="s">
        <v>48</v>
      </c>
      <c r="C357" t="s">
        <v>729</v>
      </c>
      <c r="D357" s="1">
        <v>99</v>
      </c>
      <c r="E357" s="1">
        <f t="shared" si="62"/>
        <v>82.5</v>
      </c>
      <c r="F357">
        <v>15.7</v>
      </c>
      <c r="G357" s="1">
        <v>94</v>
      </c>
      <c r="H357">
        <f t="shared" si="63"/>
        <v>-66.8</v>
      </c>
      <c r="I357">
        <f t="shared" si="64"/>
        <v>-3.9294117647058822</v>
      </c>
      <c r="J357">
        <f t="shared" si="65"/>
        <v>0</v>
      </c>
      <c r="K357">
        <f t="shared" si="66"/>
        <v>1.0909252297006058</v>
      </c>
      <c r="L357">
        <f t="shared" si="67"/>
        <v>0</v>
      </c>
      <c r="M357" s="4">
        <f t="shared" si="68"/>
        <v>0</v>
      </c>
      <c r="N357">
        <f t="shared" si="69"/>
        <v>0</v>
      </c>
      <c r="O357" cm="1">
        <f t="array" ref="O357:Q357">_xlfn.XLOOKUP(C357, X$2:X$7, AG$2:AI$7)</f>
        <v>55.4</v>
      </c>
      <c r="P357">
        <v>-0.253</v>
      </c>
      <c r="Q357">
        <v>0</v>
      </c>
      <c r="R357">
        <f t="shared" si="70"/>
        <v>3.0352135485725574E-9</v>
      </c>
      <c r="S357" s="4">
        <f t="shared" si="71"/>
        <v>1</v>
      </c>
      <c r="T357">
        <f t="shared" si="72"/>
        <v>-1</v>
      </c>
      <c r="U357">
        <f t="shared" si="73"/>
        <v>-1</v>
      </c>
    </row>
    <row r="358" spans="1:21">
      <c r="A358" t="s">
        <v>682</v>
      </c>
      <c r="B358" t="s">
        <v>48</v>
      </c>
      <c r="C358" t="s">
        <v>729</v>
      </c>
      <c r="D358" s="1">
        <v>99</v>
      </c>
      <c r="E358" s="1">
        <f t="shared" si="62"/>
        <v>82.5</v>
      </c>
      <c r="F358">
        <v>15.1</v>
      </c>
      <c r="G358" s="1">
        <v>96</v>
      </c>
      <c r="H358">
        <f t="shared" si="63"/>
        <v>-67.400000000000006</v>
      </c>
      <c r="I358">
        <f t="shared" si="64"/>
        <v>-3.9647058823529413</v>
      </c>
      <c r="J358">
        <f t="shared" si="65"/>
        <v>0</v>
      </c>
      <c r="K358">
        <f t="shared" si="66"/>
        <v>1.0909252297006058</v>
      </c>
      <c r="L358">
        <f t="shared" si="67"/>
        <v>0</v>
      </c>
      <c r="M358" s="4">
        <f t="shared" si="68"/>
        <v>0</v>
      </c>
      <c r="N358">
        <f t="shared" si="69"/>
        <v>0</v>
      </c>
      <c r="O358" cm="1">
        <f t="array" ref="O358:Q358">_xlfn.XLOOKUP(C358, X$2:X$7, AG$2:AI$7)</f>
        <v>55.4</v>
      </c>
      <c r="P358">
        <v>-0.253</v>
      </c>
      <c r="Q358">
        <v>0</v>
      </c>
      <c r="R358">
        <f t="shared" si="70"/>
        <v>1.8299374464549864E-9</v>
      </c>
      <c r="S358" s="4">
        <f t="shared" si="71"/>
        <v>1</v>
      </c>
      <c r="T358">
        <f t="shared" si="72"/>
        <v>-1</v>
      </c>
      <c r="U358">
        <f t="shared" si="73"/>
        <v>-1</v>
      </c>
    </row>
    <row r="359" spans="1:21">
      <c r="A359" t="s">
        <v>695</v>
      </c>
      <c r="B359" t="s">
        <v>48</v>
      </c>
      <c r="C359" t="s">
        <v>729</v>
      </c>
      <c r="D359" s="1">
        <v>99</v>
      </c>
      <c r="E359" s="1">
        <f t="shared" si="62"/>
        <v>82.5</v>
      </c>
      <c r="F359">
        <v>12.1</v>
      </c>
      <c r="G359" s="1">
        <v>110</v>
      </c>
      <c r="H359">
        <f t="shared" si="63"/>
        <v>-70.400000000000006</v>
      </c>
      <c r="I359">
        <f t="shared" si="64"/>
        <v>-4.1411764705882357</v>
      </c>
      <c r="J359">
        <f t="shared" si="65"/>
        <v>0</v>
      </c>
      <c r="K359">
        <f t="shared" si="66"/>
        <v>1.0909252297006058</v>
      </c>
      <c r="L359">
        <f t="shared" si="67"/>
        <v>0</v>
      </c>
      <c r="M359" s="4">
        <f t="shared" si="68"/>
        <v>0</v>
      </c>
      <c r="N359">
        <f t="shared" si="69"/>
        <v>0</v>
      </c>
      <c r="O359" cm="1">
        <f t="array" ref="O359:Q359">_xlfn.XLOOKUP(C359, X$2:X$7, AG$2:AI$7)</f>
        <v>55.4</v>
      </c>
      <c r="P359">
        <v>-0.253</v>
      </c>
      <c r="Q359">
        <v>0</v>
      </c>
      <c r="R359">
        <f t="shared" si="70"/>
        <v>5.2986494641003603E-11</v>
      </c>
      <c r="S359" s="4">
        <f t="shared" si="71"/>
        <v>1</v>
      </c>
      <c r="T359">
        <f t="shared" si="72"/>
        <v>-1</v>
      </c>
      <c r="U359">
        <f t="shared" si="73"/>
        <v>-1</v>
      </c>
    </row>
    <row r="360" spans="1:21">
      <c r="A360" t="s">
        <v>697</v>
      </c>
      <c r="B360" t="s">
        <v>48</v>
      </c>
      <c r="C360" t="s">
        <v>729</v>
      </c>
      <c r="D360" s="1">
        <v>99</v>
      </c>
      <c r="E360" s="1">
        <f t="shared" si="62"/>
        <v>82.5</v>
      </c>
      <c r="F360">
        <v>11.8</v>
      </c>
      <c r="G360" s="1">
        <v>112</v>
      </c>
      <c r="H360">
        <f t="shared" si="63"/>
        <v>-70.7</v>
      </c>
      <c r="I360">
        <f t="shared" si="64"/>
        <v>-4.158823529411765</v>
      </c>
      <c r="J360">
        <f t="shared" si="65"/>
        <v>0</v>
      </c>
      <c r="K360">
        <f t="shared" si="66"/>
        <v>1.0909252297006058</v>
      </c>
      <c r="L360">
        <f t="shared" si="67"/>
        <v>0</v>
      </c>
      <c r="M360" s="4">
        <f t="shared" si="68"/>
        <v>0</v>
      </c>
      <c r="N360">
        <f t="shared" si="69"/>
        <v>0</v>
      </c>
      <c r="O360" cm="1">
        <f t="array" ref="O360:Q360">_xlfn.XLOOKUP(C360, X$2:X$7, AG$2:AI$7)</f>
        <v>55.4</v>
      </c>
      <c r="P360">
        <v>-0.253</v>
      </c>
      <c r="Q360">
        <v>0</v>
      </c>
      <c r="R360">
        <f t="shared" si="70"/>
        <v>3.1945683276736795E-11</v>
      </c>
      <c r="S360" s="4">
        <f t="shared" si="71"/>
        <v>1</v>
      </c>
      <c r="T360">
        <f t="shared" si="72"/>
        <v>-1</v>
      </c>
      <c r="U360">
        <f t="shared" si="73"/>
        <v>-1</v>
      </c>
    </row>
    <row r="361" spans="1:21">
      <c r="A361" t="s">
        <v>285</v>
      </c>
      <c r="B361" t="s">
        <v>48</v>
      </c>
      <c r="C361" t="s">
        <v>407</v>
      </c>
      <c r="D361" s="1">
        <v>116.9</v>
      </c>
      <c r="E361" s="1">
        <f t="shared" si="62"/>
        <v>93.4</v>
      </c>
      <c r="F361">
        <v>33.4</v>
      </c>
      <c r="G361" s="1">
        <v>126</v>
      </c>
      <c r="H361">
        <f t="shared" si="63"/>
        <v>-60.000000000000007</v>
      </c>
      <c r="I361">
        <f t="shared" si="64"/>
        <v>-3.5294117647058827</v>
      </c>
      <c r="J361">
        <f t="shared" si="65"/>
        <v>0</v>
      </c>
      <c r="K361">
        <f t="shared" si="66"/>
        <v>0.94226603101549489</v>
      </c>
      <c r="L361">
        <f t="shared" si="67"/>
        <v>0</v>
      </c>
      <c r="M361" s="4">
        <f t="shared" si="68"/>
        <v>0</v>
      </c>
      <c r="N361">
        <f t="shared" si="69"/>
        <v>0</v>
      </c>
      <c r="O361" cm="1">
        <f t="array" ref="O361:Q361">_xlfn.XLOOKUP(C361, X$2:X$7, AG$2:AI$7)</f>
        <v>57.8</v>
      </c>
      <c r="P361">
        <v>-6.4299999999999996E-2</v>
      </c>
      <c r="Q361">
        <v>0</v>
      </c>
      <c r="R361">
        <f t="shared" si="70"/>
        <v>2.0437683106665581E-2</v>
      </c>
      <c r="S361" s="4">
        <f t="shared" si="71"/>
        <v>1</v>
      </c>
      <c r="T361">
        <f t="shared" si="72"/>
        <v>-1</v>
      </c>
      <c r="U361">
        <f t="shared" si="73"/>
        <v>-1</v>
      </c>
    </row>
    <row r="362" spans="1:21">
      <c r="A362" t="s">
        <v>294</v>
      </c>
      <c r="B362" t="s">
        <v>48</v>
      </c>
      <c r="C362" t="s">
        <v>407</v>
      </c>
      <c r="D362" s="1">
        <v>116.9</v>
      </c>
      <c r="E362" s="1">
        <f t="shared" si="62"/>
        <v>93.4</v>
      </c>
      <c r="F362">
        <v>29.7</v>
      </c>
      <c r="G362" s="1">
        <v>135</v>
      </c>
      <c r="H362">
        <f t="shared" si="63"/>
        <v>-63.7</v>
      </c>
      <c r="I362">
        <f t="shared" si="64"/>
        <v>-3.7470588235294118</v>
      </c>
      <c r="J362">
        <f t="shared" si="65"/>
        <v>0</v>
      </c>
      <c r="K362">
        <f t="shared" si="66"/>
        <v>0.94226603101549489</v>
      </c>
      <c r="L362">
        <f t="shared" si="67"/>
        <v>0</v>
      </c>
      <c r="M362" s="4">
        <f t="shared" si="68"/>
        <v>0</v>
      </c>
      <c r="N362">
        <f t="shared" si="69"/>
        <v>0</v>
      </c>
      <c r="O362" cm="1">
        <f t="array" ref="O362:Q362">_xlfn.XLOOKUP(C362, X$2:X$7, AG$2:AI$7)</f>
        <v>57.8</v>
      </c>
      <c r="P362">
        <v>-6.4299999999999996E-2</v>
      </c>
      <c r="Q362">
        <v>0</v>
      </c>
      <c r="R362">
        <f t="shared" si="70"/>
        <v>1.1457910994355369E-2</v>
      </c>
      <c r="S362" s="4">
        <f t="shared" si="71"/>
        <v>1</v>
      </c>
      <c r="T362">
        <f t="shared" si="72"/>
        <v>-1</v>
      </c>
      <c r="U362">
        <f t="shared" si="73"/>
        <v>-1</v>
      </c>
    </row>
    <row r="363" spans="1:21">
      <c r="A363" t="s">
        <v>359</v>
      </c>
      <c r="B363" t="s">
        <v>48</v>
      </c>
      <c r="C363" t="s">
        <v>407</v>
      </c>
      <c r="D363" s="1">
        <v>116.9</v>
      </c>
      <c r="E363" s="1">
        <f t="shared" si="62"/>
        <v>93.4</v>
      </c>
      <c r="F363">
        <v>8.1</v>
      </c>
      <c r="G363" s="1">
        <v>200</v>
      </c>
      <c r="H363">
        <f t="shared" si="63"/>
        <v>-85.300000000000011</v>
      </c>
      <c r="I363">
        <f t="shared" si="64"/>
        <v>-5.0176470588235302</v>
      </c>
      <c r="J363">
        <f t="shared" si="65"/>
        <v>0</v>
      </c>
      <c r="K363">
        <f t="shared" si="66"/>
        <v>0.94226603101549489</v>
      </c>
      <c r="L363">
        <f t="shared" si="67"/>
        <v>0</v>
      </c>
      <c r="M363" s="4">
        <f t="shared" si="68"/>
        <v>0</v>
      </c>
      <c r="N363">
        <f t="shared" si="69"/>
        <v>0</v>
      </c>
      <c r="O363" cm="1">
        <f t="array" ref="O363:Q363">_xlfn.XLOOKUP(C363, X$2:X$7, AG$2:AI$7)</f>
        <v>57.8</v>
      </c>
      <c r="P363">
        <v>-6.4299999999999996E-2</v>
      </c>
      <c r="Q363">
        <v>0</v>
      </c>
      <c r="R363">
        <f t="shared" si="70"/>
        <v>1.7537660442980578E-4</v>
      </c>
      <c r="S363" s="4">
        <f t="shared" si="71"/>
        <v>1</v>
      </c>
      <c r="T363">
        <f t="shared" si="72"/>
        <v>-1</v>
      </c>
      <c r="U363">
        <f t="shared" si="73"/>
        <v>-1</v>
      </c>
    </row>
    <row r="364" spans="1:21">
      <c r="A364" t="s">
        <v>385</v>
      </c>
      <c r="B364" t="s">
        <v>48</v>
      </c>
      <c r="C364" t="s">
        <v>407</v>
      </c>
      <c r="D364" s="1">
        <v>116.9</v>
      </c>
      <c r="E364" s="1">
        <f t="shared" si="62"/>
        <v>93.4</v>
      </c>
      <c r="F364">
        <v>6.2</v>
      </c>
      <c r="G364" s="1">
        <v>226</v>
      </c>
      <c r="H364">
        <f t="shared" si="63"/>
        <v>-87.2</v>
      </c>
      <c r="I364">
        <f t="shared" si="64"/>
        <v>-5.1294117647058828</v>
      </c>
      <c r="J364">
        <f t="shared" si="65"/>
        <v>0</v>
      </c>
      <c r="K364">
        <f t="shared" si="66"/>
        <v>0.94226603101549489</v>
      </c>
      <c r="L364">
        <f t="shared" si="67"/>
        <v>0</v>
      </c>
      <c r="M364" s="4">
        <f t="shared" si="68"/>
        <v>0</v>
      </c>
      <c r="N364">
        <f t="shared" si="69"/>
        <v>0</v>
      </c>
      <c r="O364" cm="1">
        <f t="array" ref="O364:Q364">_xlfn.XLOOKUP(C364, X$2:X$7, AG$2:AI$7)</f>
        <v>57.8</v>
      </c>
      <c r="P364">
        <v>-6.4299999999999996E-2</v>
      </c>
      <c r="Q364">
        <v>0</v>
      </c>
      <c r="R364">
        <f t="shared" si="70"/>
        <v>3.2954759180317315E-5</v>
      </c>
      <c r="S364" s="4">
        <f t="shared" si="71"/>
        <v>1</v>
      </c>
      <c r="T364">
        <f t="shared" si="72"/>
        <v>-1</v>
      </c>
      <c r="U364">
        <f t="shared" si="73"/>
        <v>-1</v>
      </c>
    </row>
    <row r="365" spans="1:21">
      <c r="A365" t="s">
        <v>406</v>
      </c>
      <c r="B365" t="s">
        <v>48</v>
      </c>
      <c r="C365" t="s">
        <v>407</v>
      </c>
      <c r="D365" s="1">
        <v>116.9</v>
      </c>
      <c r="E365" s="1">
        <f t="shared" si="62"/>
        <v>93.4</v>
      </c>
      <c r="F365">
        <v>0</v>
      </c>
      <c r="G365" s="1">
        <v>247</v>
      </c>
      <c r="H365">
        <f t="shared" si="63"/>
        <v>-93.4</v>
      </c>
      <c r="I365">
        <f t="shared" si="64"/>
        <v>-5.4941176470588236</v>
      </c>
      <c r="J365">
        <f t="shared" si="65"/>
        <v>0</v>
      </c>
      <c r="K365">
        <f t="shared" si="66"/>
        <v>0.94226603101549489</v>
      </c>
      <c r="L365">
        <f t="shared" si="67"/>
        <v>0</v>
      </c>
      <c r="M365" s="4">
        <f t="shared" si="68"/>
        <v>0</v>
      </c>
      <c r="N365">
        <f t="shared" si="69"/>
        <v>0</v>
      </c>
      <c r="O365" cm="1">
        <f t="array" ref="O365:Q365">_xlfn.XLOOKUP(C365, X$2:X$7, AG$2:AI$7)</f>
        <v>57.8</v>
      </c>
      <c r="P365">
        <v>-6.4299999999999996E-2</v>
      </c>
      <c r="Q365">
        <v>0</v>
      </c>
      <c r="R365">
        <f t="shared" si="70"/>
        <v>8.5406377837257865E-6</v>
      </c>
      <c r="S365" s="4">
        <f t="shared" si="71"/>
        <v>1</v>
      </c>
      <c r="T365">
        <f t="shared" si="72"/>
        <v>-1</v>
      </c>
      <c r="U365">
        <f t="shared" si="73"/>
        <v>-1</v>
      </c>
    </row>
    <row r="366" spans="1:21">
      <c r="A366" t="s">
        <v>141</v>
      </c>
      <c r="B366" t="s">
        <v>54</v>
      </c>
      <c r="C366" t="s">
        <v>159</v>
      </c>
      <c r="D366" s="1">
        <v>228</v>
      </c>
      <c r="E366" s="1">
        <f t="shared" si="62"/>
        <v>190</v>
      </c>
      <c r="F366">
        <v>13.3</v>
      </c>
      <c r="G366" s="1">
        <v>71</v>
      </c>
      <c r="H366">
        <f t="shared" si="63"/>
        <v>-176.7</v>
      </c>
      <c r="I366">
        <f t="shared" si="64"/>
        <v>-10.394117647058822</v>
      </c>
      <c r="J366">
        <f t="shared" si="65"/>
        <v>0</v>
      </c>
      <c r="K366">
        <f t="shared" si="66"/>
        <v>0.57566309754037293</v>
      </c>
      <c r="L366">
        <f t="shared" si="67"/>
        <v>0</v>
      </c>
      <c r="M366" s="4">
        <f t="shared" si="68"/>
        <v>0</v>
      </c>
      <c r="N366">
        <f t="shared" si="69"/>
        <v>0</v>
      </c>
      <c r="O366" cm="1">
        <f t="array" ref="O366:Q366">_xlfn.XLOOKUP(C366, X$2:X$7, AG$2:AI$7)</f>
        <v>56.4</v>
      </c>
      <c r="P366">
        <v>-0.16300000000000001</v>
      </c>
      <c r="Q366">
        <v>0</v>
      </c>
      <c r="R366">
        <f t="shared" si="70"/>
        <v>6.1981191540946509E-4</v>
      </c>
      <c r="S366" s="4">
        <f t="shared" si="71"/>
        <v>1</v>
      </c>
      <c r="T366">
        <f t="shared" si="72"/>
        <v>-1</v>
      </c>
      <c r="U366">
        <f t="shared" si="73"/>
        <v>-1</v>
      </c>
    </row>
    <row r="367" spans="1:21">
      <c r="A367" t="s">
        <v>471</v>
      </c>
      <c r="B367" t="s">
        <v>54</v>
      </c>
      <c r="C367" t="s">
        <v>586</v>
      </c>
      <c r="D367" s="1">
        <v>107.9</v>
      </c>
      <c r="E367" s="1">
        <f t="shared" si="62"/>
        <v>73</v>
      </c>
      <c r="F367">
        <v>63.1</v>
      </c>
      <c r="G367" s="1">
        <v>64</v>
      </c>
      <c r="H367">
        <f t="shared" si="63"/>
        <v>-9.8999999999999986</v>
      </c>
      <c r="I367">
        <f t="shared" si="64"/>
        <v>-0.58235294117647052</v>
      </c>
      <c r="J367">
        <f t="shared" si="65"/>
        <v>0</v>
      </c>
      <c r="K367">
        <f t="shared" si="66"/>
        <v>1.0011070456397422</v>
      </c>
      <c r="L367">
        <f t="shared" si="67"/>
        <v>0</v>
      </c>
      <c r="M367" s="4">
        <f t="shared" si="68"/>
        <v>0</v>
      </c>
      <c r="N367">
        <f t="shared" si="69"/>
        <v>0</v>
      </c>
      <c r="O367" cm="1">
        <f t="array" ref="O367:Q367">_xlfn.XLOOKUP(C367, X$2:X$7, AG$2:AI$7)</f>
        <v>5.0900000000000001E-2</v>
      </c>
      <c r="P367">
        <v>-3.9</v>
      </c>
      <c r="Q367">
        <v>73.900000000000006</v>
      </c>
      <c r="R367">
        <f t="shared" si="70"/>
        <v>38.261728800000022</v>
      </c>
      <c r="S367" s="4">
        <f t="shared" si="71"/>
        <v>1</v>
      </c>
      <c r="T367">
        <f t="shared" si="72"/>
        <v>-1</v>
      </c>
      <c r="U367">
        <f t="shared" si="73"/>
        <v>-1</v>
      </c>
    </row>
    <row r="368" spans="1:21">
      <c r="A368" t="s">
        <v>404</v>
      </c>
      <c r="B368" t="s">
        <v>54</v>
      </c>
      <c r="C368" t="s">
        <v>586</v>
      </c>
      <c r="D368" s="1">
        <v>107.9</v>
      </c>
      <c r="E368" s="1">
        <f t="shared" si="62"/>
        <v>73</v>
      </c>
      <c r="F368">
        <v>22.5</v>
      </c>
      <c r="G368" s="1">
        <v>110</v>
      </c>
      <c r="H368">
        <f t="shared" si="63"/>
        <v>-50.5</v>
      </c>
      <c r="I368">
        <f t="shared" si="64"/>
        <v>-2.9705882352941178</v>
      </c>
      <c r="J368">
        <f t="shared" si="65"/>
        <v>0</v>
      </c>
      <c r="K368">
        <f t="shared" si="66"/>
        <v>1.0011070456397422</v>
      </c>
      <c r="L368">
        <f t="shared" si="67"/>
        <v>0</v>
      </c>
      <c r="M368" s="4">
        <f t="shared" si="68"/>
        <v>0</v>
      </c>
      <c r="N368">
        <f t="shared" si="69"/>
        <v>0</v>
      </c>
      <c r="O368" cm="1">
        <f t="array" ref="O368:Q368">_xlfn.XLOOKUP(C368, X$2:X$7, AG$2:AI$7)</f>
        <v>5.0900000000000001E-2</v>
      </c>
      <c r="P368">
        <v>-3.9</v>
      </c>
      <c r="Q368">
        <v>73.900000000000006</v>
      </c>
      <c r="R368">
        <f t="shared" si="70"/>
        <v>304.34192999999999</v>
      </c>
      <c r="S368" s="4">
        <f t="shared" si="71"/>
        <v>1</v>
      </c>
      <c r="T368">
        <f t="shared" si="72"/>
        <v>-1</v>
      </c>
      <c r="U368">
        <f t="shared" si="73"/>
        <v>-1</v>
      </c>
    </row>
    <row r="369" spans="1:21">
      <c r="A369" t="s">
        <v>526</v>
      </c>
      <c r="B369" t="s">
        <v>54</v>
      </c>
      <c r="C369" t="s">
        <v>586</v>
      </c>
      <c r="D369" s="1">
        <v>107.9</v>
      </c>
      <c r="E369" s="1">
        <f t="shared" si="62"/>
        <v>73</v>
      </c>
      <c r="F369">
        <v>19.7</v>
      </c>
      <c r="G369" s="1">
        <v>120</v>
      </c>
      <c r="H369">
        <f t="shared" si="63"/>
        <v>-53.3</v>
      </c>
      <c r="I369">
        <f t="shared" si="64"/>
        <v>-3.1352941176470588</v>
      </c>
      <c r="J369">
        <f t="shared" si="65"/>
        <v>0</v>
      </c>
      <c r="K369">
        <f t="shared" si="66"/>
        <v>1.0011070456397422</v>
      </c>
      <c r="L369">
        <f t="shared" si="67"/>
        <v>0</v>
      </c>
      <c r="M369" s="4">
        <f t="shared" si="68"/>
        <v>0</v>
      </c>
      <c r="N369">
        <f t="shared" si="69"/>
        <v>0</v>
      </c>
      <c r="O369" cm="1">
        <f t="array" ref="O369:Q369">_xlfn.XLOOKUP(C369, X$2:X$7, AG$2:AI$7)</f>
        <v>5.0900000000000001E-2</v>
      </c>
      <c r="P369">
        <v>-3.9</v>
      </c>
      <c r="Q369">
        <v>73.900000000000006</v>
      </c>
      <c r="R369">
        <f t="shared" si="70"/>
        <v>395.44962000000004</v>
      </c>
      <c r="S369" s="4">
        <f t="shared" si="71"/>
        <v>1</v>
      </c>
      <c r="T369">
        <f t="shared" si="72"/>
        <v>-1</v>
      </c>
      <c r="U369">
        <f t="shared" si="73"/>
        <v>-1</v>
      </c>
    </row>
    <row r="370" spans="1:21">
      <c r="A370" t="s">
        <v>636</v>
      </c>
      <c r="B370" t="s">
        <v>54</v>
      </c>
      <c r="C370" t="s">
        <v>729</v>
      </c>
      <c r="D370" s="1">
        <v>99</v>
      </c>
      <c r="E370" s="1">
        <f t="shared" si="62"/>
        <v>82.5</v>
      </c>
      <c r="F370">
        <v>33.4</v>
      </c>
      <c r="G370" s="1">
        <v>50</v>
      </c>
      <c r="H370">
        <f t="shared" si="63"/>
        <v>-49.1</v>
      </c>
      <c r="I370">
        <f t="shared" si="64"/>
        <v>-2.888235294117647</v>
      </c>
      <c r="J370">
        <f t="shared" si="65"/>
        <v>0</v>
      </c>
      <c r="K370">
        <f t="shared" si="66"/>
        <v>1.0909252297006058</v>
      </c>
      <c r="L370">
        <f t="shared" si="67"/>
        <v>0</v>
      </c>
      <c r="M370" s="4">
        <f t="shared" si="68"/>
        <v>0</v>
      </c>
      <c r="N370">
        <f t="shared" si="69"/>
        <v>0</v>
      </c>
      <c r="O370" cm="1">
        <f t="array" ref="O370:Q370">_xlfn.XLOOKUP(C370, X$2:X$7, AG$2:AI$7)</f>
        <v>55.4</v>
      </c>
      <c r="P370">
        <v>-0.253</v>
      </c>
      <c r="Q370">
        <v>0</v>
      </c>
      <c r="R370">
        <f t="shared" si="70"/>
        <v>2.0737453475705732E-4</v>
      </c>
      <c r="S370" s="4">
        <f t="shared" si="71"/>
        <v>1</v>
      </c>
      <c r="T370">
        <f t="shared" si="72"/>
        <v>-1</v>
      </c>
      <c r="U370">
        <f t="shared" si="73"/>
        <v>-1</v>
      </c>
    </row>
    <row r="371" spans="1:21">
      <c r="A371" t="s">
        <v>638</v>
      </c>
      <c r="B371" t="s">
        <v>54</v>
      </c>
      <c r="C371" t="s">
        <v>729</v>
      </c>
      <c r="D371" s="1">
        <v>99</v>
      </c>
      <c r="E371" s="1">
        <f t="shared" si="62"/>
        <v>82.5</v>
      </c>
      <c r="F371">
        <v>32.5</v>
      </c>
      <c r="G371" s="1">
        <v>52</v>
      </c>
      <c r="H371">
        <f t="shared" si="63"/>
        <v>-50</v>
      </c>
      <c r="I371">
        <f t="shared" si="64"/>
        <v>-2.9411764705882355</v>
      </c>
      <c r="J371">
        <f t="shared" si="65"/>
        <v>0</v>
      </c>
      <c r="K371">
        <f t="shared" si="66"/>
        <v>1.0909252297006058</v>
      </c>
      <c r="L371">
        <f t="shared" si="67"/>
        <v>0</v>
      </c>
      <c r="M371" s="4">
        <f t="shared" si="68"/>
        <v>0</v>
      </c>
      <c r="N371">
        <f t="shared" si="69"/>
        <v>0</v>
      </c>
      <c r="O371" cm="1">
        <f t="array" ref="O371:Q371">_xlfn.XLOOKUP(C371, X$2:X$7, AG$2:AI$7)</f>
        <v>55.4</v>
      </c>
      <c r="P371">
        <v>-0.253</v>
      </c>
      <c r="Q371">
        <v>0</v>
      </c>
      <c r="R371">
        <f t="shared" si="70"/>
        <v>1.2502659879453574E-4</v>
      </c>
      <c r="S371" s="4">
        <f t="shared" si="71"/>
        <v>1</v>
      </c>
      <c r="T371">
        <f t="shared" si="72"/>
        <v>-1</v>
      </c>
      <c r="U371">
        <f t="shared" si="73"/>
        <v>-1</v>
      </c>
    </row>
    <row r="372" spans="1:21">
      <c r="A372" t="s">
        <v>666</v>
      </c>
      <c r="B372" t="s">
        <v>54</v>
      </c>
      <c r="C372" t="s">
        <v>729</v>
      </c>
      <c r="D372" s="1">
        <v>99</v>
      </c>
      <c r="E372" s="1">
        <f t="shared" si="62"/>
        <v>82.5</v>
      </c>
      <c r="F372">
        <v>21.5</v>
      </c>
      <c r="G372" s="1">
        <v>80</v>
      </c>
      <c r="H372">
        <f t="shared" si="63"/>
        <v>-61</v>
      </c>
      <c r="I372">
        <f t="shared" si="64"/>
        <v>-3.5882352941176472</v>
      </c>
      <c r="J372">
        <f t="shared" si="65"/>
        <v>0</v>
      </c>
      <c r="K372">
        <f t="shared" si="66"/>
        <v>1.0909252297006058</v>
      </c>
      <c r="L372">
        <f t="shared" si="67"/>
        <v>0</v>
      </c>
      <c r="M372" s="4">
        <f t="shared" si="68"/>
        <v>0</v>
      </c>
      <c r="N372">
        <f t="shared" si="69"/>
        <v>0</v>
      </c>
      <c r="O372" cm="1">
        <f t="array" ref="O372:Q372">_xlfn.XLOOKUP(C372, X$2:X$7, AG$2:AI$7)</f>
        <v>55.4</v>
      </c>
      <c r="P372">
        <v>-0.253</v>
      </c>
      <c r="Q372">
        <v>0</v>
      </c>
      <c r="R372">
        <f t="shared" si="70"/>
        <v>1.0482389839433284E-7</v>
      </c>
      <c r="S372" s="4">
        <f t="shared" si="71"/>
        <v>1</v>
      </c>
      <c r="T372">
        <f t="shared" si="72"/>
        <v>-1</v>
      </c>
      <c r="U372">
        <f t="shared" si="73"/>
        <v>-1</v>
      </c>
    </row>
    <row r="373" spans="1:21">
      <c r="A373" t="s">
        <v>276</v>
      </c>
      <c r="B373" t="s">
        <v>54</v>
      </c>
      <c r="C373" t="s">
        <v>407</v>
      </c>
      <c r="D373" s="1">
        <v>116.9</v>
      </c>
      <c r="E373" s="1">
        <f t="shared" si="62"/>
        <v>93.4</v>
      </c>
      <c r="F373">
        <v>41.2</v>
      </c>
      <c r="G373" s="1">
        <v>117</v>
      </c>
      <c r="H373">
        <f t="shared" si="63"/>
        <v>-52.2</v>
      </c>
      <c r="I373">
        <f t="shared" si="64"/>
        <v>-3.0705882352941178</v>
      </c>
      <c r="J373">
        <f t="shared" si="65"/>
        <v>0</v>
      </c>
      <c r="K373">
        <f t="shared" si="66"/>
        <v>0.94226603101549489</v>
      </c>
      <c r="L373">
        <f t="shared" si="67"/>
        <v>0</v>
      </c>
      <c r="M373" s="4">
        <f t="shared" si="68"/>
        <v>0</v>
      </c>
      <c r="N373">
        <f t="shared" si="69"/>
        <v>0</v>
      </c>
      <c r="O373" cm="1">
        <f t="array" ref="O373:Q373">_xlfn.XLOOKUP(C373, X$2:X$7, AG$2:AI$7)</f>
        <v>57.8</v>
      </c>
      <c r="P373">
        <v>-6.4299999999999996E-2</v>
      </c>
      <c r="Q373">
        <v>0</v>
      </c>
      <c r="R373">
        <f t="shared" si="70"/>
        <v>3.6455065061533329E-2</v>
      </c>
      <c r="S373" s="4">
        <f t="shared" si="71"/>
        <v>1</v>
      </c>
      <c r="T373">
        <f t="shared" si="72"/>
        <v>-1</v>
      </c>
      <c r="U373">
        <f t="shared" si="73"/>
        <v>-1</v>
      </c>
    </row>
    <row r="374" spans="1:21">
      <c r="A374" t="s">
        <v>288</v>
      </c>
      <c r="B374" t="s">
        <v>54</v>
      </c>
      <c r="C374" t="s">
        <v>407</v>
      </c>
      <c r="D374" s="1">
        <v>116.9</v>
      </c>
      <c r="E374" s="1">
        <f t="shared" si="62"/>
        <v>93.4</v>
      </c>
      <c r="F374">
        <v>32.299999999999997</v>
      </c>
      <c r="G374" s="1">
        <v>129</v>
      </c>
      <c r="H374">
        <f t="shared" si="63"/>
        <v>-61.100000000000009</v>
      </c>
      <c r="I374">
        <f t="shared" si="64"/>
        <v>-3.5941176470588241</v>
      </c>
      <c r="J374">
        <f t="shared" si="65"/>
        <v>0</v>
      </c>
      <c r="K374">
        <f t="shared" si="66"/>
        <v>0.94226603101549489</v>
      </c>
      <c r="L374">
        <f t="shared" si="67"/>
        <v>0</v>
      </c>
      <c r="M374" s="4">
        <f t="shared" si="68"/>
        <v>0</v>
      </c>
      <c r="N374">
        <f t="shared" si="69"/>
        <v>0</v>
      </c>
      <c r="O374" cm="1">
        <f t="array" ref="O374:Q374">_xlfn.XLOOKUP(C374, X$2:X$7, AG$2:AI$7)</f>
        <v>57.8</v>
      </c>
      <c r="P374">
        <v>-6.4299999999999996E-2</v>
      </c>
      <c r="Q374">
        <v>0</v>
      </c>
      <c r="R374">
        <f t="shared" si="70"/>
        <v>1.6852186448999919E-2</v>
      </c>
      <c r="S374" s="4">
        <f t="shared" si="71"/>
        <v>1</v>
      </c>
      <c r="T374">
        <f t="shared" si="72"/>
        <v>-1</v>
      </c>
      <c r="U374">
        <f t="shared" si="73"/>
        <v>-1</v>
      </c>
    </row>
    <row r="375" spans="1:21">
      <c r="A375" t="s">
        <v>308</v>
      </c>
      <c r="B375" t="s">
        <v>54</v>
      </c>
      <c r="C375" t="s">
        <v>407</v>
      </c>
      <c r="D375" s="1">
        <v>116.9</v>
      </c>
      <c r="E375" s="1">
        <f t="shared" si="62"/>
        <v>93.4</v>
      </c>
      <c r="F375">
        <v>22.3</v>
      </c>
      <c r="G375" s="1">
        <v>149</v>
      </c>
      <c r="H375">
        <f t="shared" si="63"/>
        <v>-71.100000000000009</v>
      </c>
      <c r="I375">
        <f t="shared" si="64"/>
        <v>-4.1823529411764708</v>
      </c>
      <c r="J375">
        <f t="shared" si="65"/>
        <v>0</v>
      </c>
      <c r="K375">
        <f t="shared" si="66"/>
        <v>0.94226603101549489</v>
      </c>
      <c r="L375">
        <f t="shared" si="67"/>
        <v>0</v>
      </c>
      <c r="M375" s="4">
        <f t="shared" si="68"/>
        <v>0</v>
      </c>
      <c r="N375">
        <f t="shared" si="69"/>
        <v>0</v>
      </c>
      <c r="O375" cm="1">
        <f t="array" ref="O375:Q375">_xlfn.XLOOKUP(C375, X$2:X$7, AG$2:AI$7)</f>
        <v>57.8</v>
      </c>
      <c r="P375">
        <v>-6.4299999999999996E-2</v>
      </c>
      <c r="Q375">
        <v>0</v>
      </c>
      <c r="R375">
        <f t="shared" si="70"/>
        <v>4.657507379680838E-3</v>
      </c>
      <c r="S375" s="4">
        <f t="shared" si="71"/>
        <v>1</v>
      </c>
      <c r="T375">
        <f t="shared" si="72"/>
        <v>-1</v>
      </c>
      <c r="U375">
        <f t="shared" si="73"/>
        <v>-1</v>
      </c>
    </row>
    <row r="376" spans="1:21">
      <c r="A376" t="s">
        <v>333</v>
      </c>
      <c r="B376" t="s">
        <v>54</v>
      </c>
      <c r="C376" t="s">
        <v>407</v>
      </c>
      <c r="D376" s="1">
        <v>116.9</v>
      </c>
      <c r="E376" s="1">
        <f t="shared" si="62"/>
        <v>93.4</v>
      </c>
      <c r="F376">
        <v>11.9</v>
      </c>
      <c r="G376" s="1">
        <v>174</v>
      </c>
      <c r="H376">
        <f t="shared" si="63"/>
        <v>-81.5</v>
      </c>
      <c r="I376">
        <f t="shared" si="64"/>
        <v>-4.7941176470588234</v>
      </c>
      <c r="J376">
        <f t="shared" si="65"/>
        <v>0</v>
      </c>
      <c r="K376">
        <f t="shared" si="66"/>
        <v>0.94226603101549489</v>
      </c>
      <c r="L376">
        <f t="shared" si="67"/>
        <v>0</v>
      </c>
      <c r="M376" s="4">
        <f t="shared" si="68"/>
        <v>0</v>
      </c>
      <c r="N376">
        <f t="shared" si="69"/>
        <v>0</v>
      </c>
      <c r="O376" cm="1">
        <f t="array" ref="O376:Q376">_xlfn.XLOOKUP(C376, X$2:X$7, AG$2:AI$7)</f>
        <v>57.8</v>
      </c>
      <c r="P376">
        <v>-6.4299999999999996E-2</v>
      </c>
      <c r="Q376">
        <v>0</v>
      </c>
      <c r="R376">
        <f t="shared" si="70"/>
        <v>9.3330839448824122E-4</v>
      </c>
      <c r="S376" s="4">
        <f t="shared" si="71"/>
        <v>1</v>
      </c>
      <c r="T376">
        <f t="shared" si="72"/>
        <v>-1</v>
      </c>
      <c r="U376">
        <f t="shared" si="73"/>
        <v>-1</v>
      </c>
    </row>
    <row r="377" spans="1:21">
      <c r="A377" t="s">
        <v>372</v>
      </c>
      <c r="B377" t="s">
        <v>54</v>
      </c>
      <c r="C377" t="s">
        <v>407</v>
      </c>
      <c r="D377" s="1">
        <v>116.9</v>
      </c>
      <c r="E377" s="1">
        <f t="shared" si="62"/>
        <v>93.4</v>
      </c>
      <c r="F377">
        <v>6.9</v>
      </c>
      <c r="G377" s="1">
        <v>213</v>
      </c>
      <c r="H377">
        <f t="shared" si="63"/>
        <v>-86.5</v>
      </c>
      <c r="I377">
        <f t="shared" si="64"/>
        <v>-5.0882352941176467</v>
      </c>
      <c r="J377">
        <f t="shared" si="65"/>
        <v>0</v>
      </c>
      <c r="K377">
        <f t="shared" si="66"/>
        <v>0.94226603101549489</v>
      </c>
      <c r="L377">
        <f t="shared" si="67"/>
        <v>0</v>
      </c>
      <c r="M377" s="4">
        <f t="shared" si="68"/>
        <v>0</v>
      </c>
      <c r="N377">
        <f t="shared" si="69"/>
        <v>0</v>
      </c>
      <c r="O377" cm="1">
        <f t="array" ref="O377:Q377">_xlfn.XLOOKUP(C377, X$2:X$7, AG$2:AI$7)</f>
        <v>57.8</v>
      </c>
      <c r="P377">
        <v>-6.4299999999999996E-2</v>
      </c>
      <c r="Q377">
        <v>0</v>
      </c>
      <c r="R377">
        <f t="shared" si="70"/>
        <v>7.6022981820275971E-5</v>
      </c>
      <c r="S377" s="4">
        <f t="shared" si="71"/>
        <v>1</v>
      </c>
      <c r="T377">
        <f t="shared" si="72"/>
        <v>-1</v>
      </c>
      <c r="U377">
        <f t="shared" si="73"/>
        <v>-1</v>
      </c>
    </row>
    <row r="378" spans="1:21">
      <c r="A378" t="s">
        <v>380</v>
      </c>
      <c r="B378" t="s">
        <v>54</v>
      </c>
      <c r="C378" t="s">
        <v>407</v>
      </c>
      <c r="D378" s="1">
        <v>116.9</v>
      </c>
      <c r="E378" s="1">
        <f t="shared" si="62"/>
        <v>93.4</v>
      </c>
      <c r="F378">
        <v>6.4</v>
      </c>
      <c r="G378" s="1">
        <v>221</v>
      </c>
      <c r="H378">
        <f t="shared" si="63"/>
        <v>-87</v>
      </c>
      <c r="I378">
        <f t="shared" si="64"/>
        <v>-5.117647058823529</v>
      </c>
      <c r="J378">
        <f t="shared" si="65"/>
        <v>0</v>
      </c>
      <c r="K378">
        <f t="shared" si="66"/>
        <v>0.94226603101549489</v>
      </c>
      <c r="L378">
        <f t="shared" si="67"/>
        <v>0</v>
      </c>
      <c r="M378" s="4">
        <f t="shared" si="68"/>
        <v>0</v>
      </c>
      <c r="N378">
        <f t="shared" si="69"/>
        <v>0</v>
      </c>
      <c r="O378" cm="1">
        <f t="array" ref="O378:Q378">_xlfn.XLOOKUP(C378, X$2:X$7, AG$2:AI$7)</f>
        <v>57.8</v>
      </c>
      <c r="P378">
        <v>-6.4299999999999996E-2</v>
      </c>
      <c r="Q378">
        <v>0</v>
      </c>
      <c r="R378">
        <f t="shared" si="70"/>
        <v>4.5451039286287117E-5</v>
      </c>
      <c r="S378" s="4">
        <f t="shared" si="71"/>
        <v>1</v>
      </c>
      <c r="T378">
        <f t="shared" si="72"/>
        <v>-1</v>
      </c>
      <c r="U378">
        <f t="shared" si="73"/>
        <v>-1</v>
      </c>
    </row>
    <row r="379" spans="1:21">
      <c r="A379" t="s">
        <v>383</v>
      </c>
      <c r="B379" t="s">
        <v>54</v>
      </c>
      <c r="C379" t="s">
        <v>407</v>
      </c>
      <c r="D379" s="1">
        <v>116.9</v>
      </c>
      <c r="E379" s="1">
        <f t="shared" si="62"/>
        <v>93.4</v>
      </c>
      <c r="F379">
        <v>6.4</v>
      </c>
      <c r="G379" s="1">
        <v>224</v>
      </c>
      <c r="H379">
        <f t="shared" si="63"/>
        <v>-87</v>
      </c>
      <c r="I379">
        <f t="shared" si="64"/>
        <v>-5.117647058823529</v>
      </c>
      <c r="J379">
        <f t="shared" si="65"/>
        <v>0</v>
      </c>
      <c r="K379">
        <f t="shared" si="66"/>
        <v>0.94226603101549489</v>
      </c>
      <c r="L379">
        <f t="shared" si="67"/>
        <v>0</v>
      </c>
      <c r="M379" s="4">
        <f t="shared" si="68"/>
        <v>0</v>
      </c>
      <c r="N379">
        <f t="shared" si="69"/>
        <v>0</v>
      </c>
      <c r="O379" cm="1">
        <f t="array" ref="O379:Q379">_xlfn.XLOOKUP(C379, X$2:X$7, AG$2:AI$7)</f>
        <v>57.8</v>
      </c>
      <c r="P379">
        <v>-6.4299999999999996E-2</v>
      </c>
      <c r="Q379">
        <v>0</v>
      </c>
      <c r="R379">
        <f t="shared" si="70"/>
        <v>3.7477310141065973E-5</v>
      </c>
      <c r="S379" s="4">
        <f t="shared" si="71"/>
        <v>1</v>
      </c>
      <c r="T379">
        <f t="shared" si="72"/>
        <v>-1</v>
      </c>
      <c r="U379">
        <f t="shared" si="73"/>
        <v>-1</v>
      </c>
    </row>
    <row r="380" spans="1:21">
      <c r="A380" t="s">
        <v>404</v>
      </c>
      <c r="B380" t="s">
        <v>54</v>
      </c>
      <c r="C380" t="s">
        <v>407</v>
      </c>
      <c r="D380" s="1">
        <v>116.9</v>
      </c>
      <c r="E380" s="1">
        <f t="shared" si="62"/>
        <v>93.4</v>
      </c>
      <c r="F380">
        <v>0</v>
      </c>
      <c r="G380" s="1">
        <v>245</v>
      </c>
      <c r="H380">
        <f t="shared" si="63"/>
        <v>-93.4</v>
      </c>
      <c r="I380">
        <f t="shared" si="64"/>
        <v>-5.4941176470588236</v>
      </c>
      <c r="J380">
        <f t="shared" si="65"/>
        <v>0</v>
      </c>
      <c r="K380">
        <f t="shared" si="66"/>
        <v>0.94226603101549489</v>
      </c>
      <c r="L380">
        <f t="shared" si="67"/>
        <v>0</v>
      </c>
      <c r="M380" s="4">
        <f t="shared" si="68"/>
        <v>0</v>
      </c>
      <c r="N380">
        <f t="shared" si="69"/>
        <v>0</v>
      </c>
      <c r="O380" cm="1">
        <f t="array" ref="O380:Q380">_xlfn.XLOOKUP(C380, X$2:X$7, AG$2:AI$7)</f>
        <v>57.8</v>
      </c>
      <c r="P380">
        <v>-6.4299999999999996E-2</v>
      </c>
      <c r="Q380">
        <v>0</v>
      </c>
      <c r="R380">
        <f t="shared" si="70"/>
        <v>9.7127133981415925E-6</v>
      </c>
      <c r="S380" s="4">
        <f t="shared" si="71"/>
        <v>1</v>
      </c>
      <c r="T380">
        <f t="shared" si="72"/>
        <v>-1</v>
      </c>
      <c r="U380">
        <f t="shared" si="73"/>
        <v>-1</v>
      </c>
    </row>
    <row r="381" spans="1:21">
      <c r="A381" t="s">
        <v>759</v>
      </c>
      <c r="B381" t="s">
        <v>56</v>
      </c>
      <c r="C381" t="s">
        <v>764</v>
      </c>
      <c r="D381" s="1">
        <v>124.7</v>
      </c>
      <c r="E381" s="1">
        <f t="shared" si="62"/>
        <v>118.7</v>
      </c>
      <c r="F381">
        <v>109.1</v>
      </c>
      <c r="G381" s="1">
        <v>30</v>
      </c>
      <c r="H381">
        <f t="shared" si="63"/>
        <v>-9.6000000000000085</v>
      </c>
      <c r="I381">
        <f t="shared" si="64"/>
        <v>-0.56470588235294172</v>
      </c>
      <c r="J381">
        <f t="shared" si="65"/>
        <v>0</v>
      </c>
      <c r="K381">
        <f t="shared" si="66"/>
        <v>0.70591649737063444</v>
      </c>
      <c r="L381">
        <f t="shared" si="67"/>
        <v>0</v>
      </c>
      <c r="M381" s="4">
        <f t="shared" si="68"/>
        <v>0</v>
      </c>
      <c r="N381">
        <f t="shared" si="69"/>
        <v>0</v>
      </c>
      <c r="O381" cm="1">
        <f t="array" ref="O381:Q381">_xlfn.XLOOKUP(C381, X$2:X$7, AG$2:AI$7)</f>
        <v>3.22</v>
      </c>
      <c r="P381">
        <v>-0.14799999999999999</v>
      </c>
      <c r="Q381">
        <v>0</v>
      </c>
      <c r="R381">
        <f t="shared" si="70"/>
        <v>4.4326070013211281E-2</v>
      </c>
      <c r="S381" s="4">
        <f t="shared" si="71"/>
        <v>1</v>
      </c>
      <c r="T381">
        <f t="shared" si="72"/>
        <v>-1</v>
      </c>
      <c r="U381">
        <f t="shared" si="73"/>
        <v>-1</v>
      </c>
    </row>
    <row r="382" spans="1:21">
      <c r="A382" t="s">
        <v>107</v>
      </c>
      <c r="B382" t="s">
        <v>56</v>
      </c>
      <c r="C382" t="s">
        <v>159</v>
      </c>
      <c r="D382" s="1">
        <v>228</v>
      </c>
      <c r="E382" s="1">
        <f t="shared" si="62"/>
        <v>190</v>
      </c>
      <c r="F382">
        <v>50.1</v>
      </c>
      <c r="G382" s="1">
        <v>37</v>
      </c>
      <c r="H382">
        <f t="shared" si="63"/>
        <v>-139.9</v>
      </c>
      <c r="I382">
        <f t="shared" si="64"/>
        <v>-8.2294117647058833</v>
      </c>
      <c r="J382">
        <f t="shared" si="65"/>
        <v>0</v>
      </c>
      <c r="K382">
        <f t="shared" si="66"/>
        <v>0.57566309754037293</v>
      </c>
      <c r="L382">
        <f t="shared" si="67"/>
        <v>0</v>
      </c>
      <c r="M382" s="4">
        <f t="shared" si="68"/>
        <v>0</v>
      </c>
      <c r="N382">
        <f t="shared" si="69"/>
        <v>0</v>
      </c>
      <c r="O382" cm="1">
        <f t="array" ref="O382:Q382">_xlfn.XLOOKUP(C382, X$2:X$7, AG$2:AI$7)</f>
        <v>56.4</v>
      </c>
      <c r="P382">
        <v>-0.16300000000000001</v>
      </c>
      <c r="Q382">
        <v>0</v>
      </c>
      <c r="R382">
        <f t="shared" si="70"/>
        <v>0.15816847948986412</v>
      </c>
      <c r="S382" s="4">
        <f t="shared" si="71"/>
        <v>1</v>
      </c>
      <c r="T382">
        <f t="shared" si="72"/>
        <v>-1</v>
      </c>
      <c r="U382">
        <f t="shared" si="73"/>
        <v>-1</v>
      </c>
    </row>
    <row r="383" spans="1:21">
      <c r="A383" t="s">
        <v>137</v>
      </c>
      <c r="B383" t="s">
        <v>56</v>
      </c>
      <c r="C383" t="s">
        <v>159</v>
      </c>
      <c r="D383" s="1">
        <v>228</v>
      </c>
      <c r="E383" s="1">
        <f t="shared" si="62"/>
        <v>190</v>
      </c>
      <c r="F383">
        <v>16.8</v>
      </c>
      <c r="G383" s="1">
        <v>67</v>
      </c>
      <c r="H383">
        <f t="shared" si="63"/>
        <v>-173.2</v>
      </c>
      <c r="I383">
        <f t="shared" si="64"/>
        <v>-10.188235294117646</v>
      </c>
      <c r="J383">
        <f t="shared" si="65"/>
        <v>0</v>
      </c>
      <c r="K383">
        <f t="shared" si="66"/>
        <v>0.57566309754037293</v>
      </c>
      <c r="L383">
        <f t="shared" si="67"/>
        <v>0</v>
      </c>
      <c r="M383" s="4">
        <f t="shared" si="68"/>
        <v>0</v>
      </c>
      <c r="N383">
        <f t="shared" si="69"/>
        <v>0</v>
      </c>
      <c r="O383" cm="1">
        <f t="array" ref="O383:Q383">_xlfn.XLOOKUP(C383, X$2:X$7, AG$2:AI$7)</f>
        <v>56.4</v>
      </c>
      <c r="P383">
        <v>-0.16300000000000001</v>
      </c>
      <c r="Q383">
        <v>0</v>
      </c>
      <c r="R383">
        <f t="shared" si="70"/>
        <v>1.189651956470575E-3</v>
      </c>
      <c r="S383" s="4">
        <f t="shared" si="71"/>
        <v>1</v>
      </c>
      <c r="T383">
        <f t="shared" si="72"/>
        <v>-1</v>
      </c>
      <c r="U383">
        <f t="shared" si="73"/>
        <v>-1</v>
      </c>
    </row>
    <row r="384" spans="1:21">
      <c r="A384" t="s">
        <v>157</v>
      </c>
      <c r="B384" t="s">
        <v>56</v>
      </c>
      <c r="C384" t="s">
        <v>159</v>
      </c>
      <c r="D384" s="1">
        <v>228</v>
      </c>
      <c r="E384" s="1">
        <f t="shared" si="62"/>
        <v>190</v>
      </c>
      <c r="F384">
        <v>0.4</v>
      </c>
      <c r="G384" s="1">
        <v>87</v>
      </c>
      <c r="H384">
        <f t="shared" si="63"/>
        <v>-189.6</v>
      </c>
      <c r="I384">
        <f t="shared" si="64"/>
        <v>-11.152941176470588</v>
      </c>
      <c r="J384">
        <f t="shared" si="65"/>
        <v>0</v>
      </c>
      <c r="K384">
        <f t="shared" si="66"/>
        <v>0.57566309754037293</v>
      </c>
      <c r="L384">
        <f t="shared" si="67"/>
        <v>0</v>
      </c>
      <c r="M384" s="4">
        <f t="shared" si="68"/>
        <v>0</v>
      </c>
      <c r="N384">
        <f t="shared" si="69"/>
        <v>0</v>
      </c>
      <c r="O384" cm="1">
        <f t="array" ref="O384:Q384">_xlfn.XLOOKUP(C384, X$2:X$7, AG$2:AI$7)</f>
        <v>56.4</v>
      </c>
      <c r="P384">
        <v>-0.16300000000000001</v>
      </c>
      <c r="Q384">
        <v>0</v>
      </c>
      <c r="R384">
        <f t="shared" si="70"/>
        <v>4.5668832807351961E-5</v>
      </c>
      <c r="S384" s="4">
        <f t="shared" si="71"/>
        <v>1</v>
      </c>
      <c r="T384">
        <f t="shared" si="72"/>
        <v>-1</v>
      </c>
      <c r="U384">
        <f t="shared" si="73"/>
        <v>-1</v>
      </c>
    </row>
    <row r="385" spans="1:21">
      <c r="A385" t="s">
        <v>479</v>
      </c>
      <c r="B385" t="s">
        <v>56</v>
      </c>
      <c r="C385" t="s">
        <v>586</v>
      </c>
      <c r="D385" s="1">
        <v>107.9</v>
      </c>
      <c r="E385" s="1">
        <f t="shared" si="62"/>
        <v>73</v>
      </c>
      <c r="F385">
        <v>46.3</v>
      </c>
      <c r="G385" s="1">
        <v>72</v>
      </c>
      <c r="H385">
        <f t="shared" si="63"/>
        <v>-26.700000000000003</v>
      </c>
      <c r="I385">
        <f t="shared" si="64"/>
        <v>-1.5705882352941178</v>
      </c>
      <c r="J385">
        <f t="shared" si="65"/>
        <v>0</v>
      </c>
      <c r="K385">
        <f t="shared" si="66"/>
        <v>1.0011070456397422</v>
      </c>
      <c r="L385">
        <f t="shared" si="67"/>
        <v>0</v>
      </c>
      <c r="M385" s="4">
        <f t="shared" si="68"/>
        <v>0</v>
      </c>
      <c r="N385">
        <f t="shared" si="69"/>
        <v>0</v>
      </c>
      <c r="O385" cm="1">
        <f t="array" ref="O385:Q385">_xlfn.XLOOKUP(C385, X$2:X$7, AG$2:AI$7)</f>
        <v>5.0900000000000001E-2</v>
      </c>
      <c r="P385">
        <v>-3.9</v>
      </c>
      <c r="Q385">
        <v>73.900000000000006</v>
      </c>
      <c r="R385">
        <f t="shared" si="70"/>
        <v>66.478855200000027</v>
      </c>
      <c r="S385" s="4">
        <f t="shared" si="71"/>
        <v>1</v>
      </c>
      <c r="T385">
        <f t="shared" si="72"/>
        <v>-1</v>
      </c>
      <c r="U385">
        <f t="shared" si="73"/>
        <v>-1</v>
      </c>
    </row>
    <row r="386" spans="1:21">
      <c r="A386" t="s">
        <v>499</v>
      </c>
      <c r="B386" t="s">
        <v>56</v>
      </c>
      <c r="C386" t="s">
        <v>586</v>
      </c>
      <c r="D386" s="1">
        <v>107.9</v>
      </c>
      <c r="E386" s="1">
        <f t="shared" ref="E386:E449" si="74">IF(C386=X$2, AE$2, IF(C386 = X$3, AE$3, IF(C386 = X$4, AE$4, IF(C386 = X$5, AE$5, IF(C386=X$6, AE$6, IF(C386=X$7, AE$7, ""))))))</f>
        <v>73</v>
      </c>
      <c r="F386">
        <v>31.3</v>
      </c>
      <c r="G386" s="1">
        <v>92</v>
      </c>
      <c r="H386">
        <f t="shared" ref="H386:H449" si="75">F386-E386</f>
        <v>-41.7</v>
      </c>
      <c r="I386">
        <f t="shared" ref="I386:I449" si="76">H386/17</f>
        <v>-2.4529411764705884</v>
      </c>
      <c r="J386">
        <f t="shared" ref="J386:J449" si="77">IF(1+I386/AK$2&lt;0, 0,(1+I386/AK$2))</f>
        <v>0</v>
      </c>
      <c r="K386">
        <f t="shared" ref="K386:K449" si="78">IF(C386=X$2, AB$2, IF(C386 = X$3, AB$3, IF(C386 = X$4, AB$4, IF(C386 = X$5, AB$5, IF(C386=X$6, AB$6, IF(C386=X$7, AB$7, ""))))))</f>
        <v>1.0011070456397422</v>
      </c>
      <c r="L386">
        <f t="shared" ref="L386:L449" si="79">M386/AN$21*AN$12</f>
        <v>0</v>
      </c>
      <c r="M386" s="4">
        <f t="shared" ref="M386:M449" si="80">J386*K386</f>
        <v>0</v>
      </c>
      <c r="N386">
        <f t="shared" ref="N386:N449" si="81">M386*1.25</f>
        <v>0</v>
      </c>
      <c r="O386" cm="1">
        <f t="array" ref="O386:Q386">_xlfn.XLOOKUP(C386, X$2:X$7, AG$2:AI$7)</f>
        <v>5.0900000000000001E-2</v>
      </c>
      <c r="P386">
        <v>-3.9</v>
      </c>
      <c r="Q386">
        <v>73.900000000000006</v>
      </c>
      <c r="R386">
        <f t="shared" ref="R386:R449" si="82">IF(Q386=0,1.167*O386*EXP(P386*G386),1.167*(O386*G386^2+P386*G386+Q386))</f>
        <v>170.28583920000003</v>
      </c>
      <c r="S386" s="4">
        <f t="shared" ref="S386:S449" si="83">IF(OR(H386&lt;0, R386&lt;1), 1, R386)</f>
        <v>1</v>
      </c>
      <c r="T386">
        <f t="shared" ref="T386:T449" si="84">M386-S386</f>
        <v>-1</v>
      </c>
      <c r="U386">
        <f t="shared" ref="U386:U449" si="85">N386-S386</f>
        <v>-1</v>
      </c>
    </row>
    <row r="387" spans="1:21">
      <c r="A387" t="s">
        <v>507</v>
      </c>
      <c r="B387" t="s">
        <v>56</v>
      </c>
      <c r="C387" t="s">
        <v>586</v>
      </c>
      <c r="D387" s="1">
        <v>107.9</v>
      </c>
      <c r="E387" s="1">
        <f t="shared" si="74"/>
        <v>73</v>
      </c>
      <c r="F387">
        <v>27.8</v>
      </c>
      <c r="G387" s="1">
        <v>100</v>
      </c>
      <c r="H387">
        <f t="shared" si="75"/>
        <v>-45.2</v>
      </c>
      <c r="I387">
        <f t="shared" si="76"/>
        <v>-2.658823529411765</v>
      </c>
      <c r="J387">
        <f t="shared" si="77"/>
        <v>0</v>
      </c>
      <c r="K387">
        <f t="shared" si="78"/>
        <v>1.0011070456397422</v>
      </c>
      <c r="L387">
        <f t="shared" si="79"/>
        <v>0</v>
      </c>
      <c r="M387" s="4">
        <f t="shared" si="80"/>
        <v>0</v>
      </c>
      <c r="N387">
        <f t="shared" si="81"/>
        <v>0</v>
      </c>
      <c r="O387" cm="1">
        <f t="array" ref="O387:Q387">_xlfn.XLOOKUP(C387, X$2:X$7, AG$2:AI$7)</f>
        <v>5.0900000000000001E-2</v>
      </c>
      <c r="P387">
        <v>-3.9</v>
      </c>
      <c r="Q387">
        <v>73.900000000000006</v>
      </c>
      <c r="R387">
        <f t="shared" si="82"/>
        <v>225.11430000000001</v>
      </c>
      <c r="S387" s="4">
        <f t="shared" si="83"/>
        <v>1</v>
      </c>
      <c r="T387">
        <f t="shared" si="84"/>
        <v>-1</v>
      </c>
      <c r="U387">
        <f t="shared" si="85"/>
        <v>-1</v>
      </c>
    </row>
    <row r="388" spans="1:21">
      <c r="A388" t="s">
        <v>524</v>
      </c>
      <c r="B388" t="s">
        <v>56</v>
      </c>
      <c r="C388" t="s">
        <v>586</v>
      </c>
      <c r="D388" s="1">
        <v>107.9</v>
      </c>
      <c r="E388" s="1">
        <f t="shared" si="74"/>
        <v>73</v>
      </c>
      <c r="F388">
        <v>20.9</v>
      </c>
      <c r="G388" s="1">
        <v>118</v>
      </c>
      <c r="H388">
        <f t="shared" si="75"/>
        <v>-52.1</v>
      </c>
      <c r="I388">
        <f t="shared" si="76"/>
        <v>-3.0647058823529414</v>
      </c>
      <c r="J388">
        <f t="shared" si="77"/>
        <v>0</v>
      </c>
      <c r="K388">
        <f t="shared" si="78"/>
        <v>1.0011070456397422</v>
      </c>
      <c r="L388">
        <f t="shared" si="79"/>
        <v>0</v>
      </c>
      <c r="M388" s="4">
        <f t="shared" si="80"/>
        <v>0</v>
      </c>
      <c r="N388">
        <f t="shared" si="81"/>
        <v>0</v>
      </c>
      <c r="O388" cm="1">
        <f t="array" ref="O388:Q388">_xlfn.XLOOKUP(C388, X$2:X$7, AG$2:AI$7)</f>
        <v>5.0900000000000001E-2</v>
      </c>
      <c r="P388">
        <v>-3.9</v>
      </c>
      <c r="Q388">
        <v>73.900000000000006</v>
      </c>
      <c r="R388">
        <f t="shared" si="82"/>
        <v>376.27767720000003</v>
      </c>
      <c r="S388" s="4">
        <f t="shared" si="83"/>
        <v>1</v>
      </c>
      <c r="T388">
        <f t="shared" si="84"/>
        <v>-1</v>
      </c>
      <c r="U388">
        <f t="shared" si="85"/>
        <v>-1</v>
      </c>
    </row>
    <row r="389" spans="1:21">
      <c r="A389" t="s">
        <v>617</v>
      </c>
      <c r="B389" t="s">
        <v>56</v>
      </c>
      <c r="C389" t="s">
        <v>729</v>
      </c>
      <c r="D389" s="1">
        <v>99</v>
      </c>
      <c r="E389" s="1">
        <f t="shared" si="74"/>
        <v>82.5</v>
      </c>
      <c r="F389">
        <v>73.8</v>
      </c>
      <c r="G389" s="1">
        <v>31</v>
      </c>
      <c r="H389">
        <f t="shared" si="75"/>
        <v>-8.7000000000000028</v>
      </c>
      <c r="I389">
        <f t="shared" si="76"/>
        <v>-0.51176470588235312</v>
      </c>
      <c r="J389">
        <f t="shared" si="77"/>
        <v>0</v>
      </c>
      <c r="K389">
        <f t="shared" si="78"/>
        <v>1.0909252297006058</v>
      </c>
      <c r="L389">
        <f t="shared" si="79"/>
        <v>0</v>
      </c>
      <c r="M389" s="4">
        <f t="shared" si="80"/>
        <v>0</v>
      </c>
      <c r="N389">
        <f t="shared" si="81"/>
        <v>0</v>
      </c>
      <c r="O389" cm="1">
        <f t="array" ref="O389:Q389">_xlfn.XLOOKUP(C389, X$2:X$7, AG$2:AI$7)</f>
        <v>55.4</v>
      </c>
      <c r="P389">
        <v>-0.253</v>
      </c>
      <c r="Q389">
        <v>0</v>
      </c>
      <c r="R389">
        <f t="shared" si="82"/>
        <v>2.5375172263284975E-2</v>
      </c>
      <c r="S389" s="4">
        <f t="shared" si="83"/>
        <v>1</v>
      </c>
      <c r="T389">
        <f t="shared" si="84"/>
        <v>-1</v>
      </c>
      <c r="U389">
        <f t="shared" si="85"/>
        <v>-1</v>
      </c>
    </row>
    <row r="390" spans="1:21">
      <c r="A390" t="s">
        <v>625</v>
      </c>
      <c r="B390" t="s">
        <v>56</v>
      </c>
      <c r="C390" t="s">
        <v>729</v>
      </c>
      <c r="D390" s="1">
        <v>99</v>
      </c>
      <c r="E390" s="1">
        <f t="shared" si="74"/>
        <v>82.5</v>
      </c>
      <c r="F390">
        <v>42.5</v>
      </c>
      <c r="G390" s="1">
        <v>39</v>
      </c>
      <c r="H390">
        <f t="shared" si="75"/>
        <v>-40</v>
      </c>
      <c r="I390">
        <f t="shared" si="76"/>
        <v>-2.3529411764705883</v>
      </c>
      <c r="J390">
        <f t="shared" si="77"/>
        <v>0</v>
      </c>
      <c r="K390">
        <f t="shared" si="78"/>
        <v>1.0909252297006058</v>
      </c>
      <c r="L390">
        <f t="shared" si="79"/>
        <v>0</v>
      </c>
      <c r="M390" s="4">
        <f t="shared" si="80"/>
        <v>0</v>
      </c>
      <c r="N390">
        <f t="shared" si="81"/>
        <v>0</v>
      </c>
      <c r="O390" cm="1">
        <f t="array" ref="O390:Q390">_xlfn.XLOOKUP(C390, X$2:X$7, AG$2:AI$7)</f>
        <v>55.4</v>
      </c>
      <c r="P390">
        <v>-0.253</v>
      </c>
      <c r="Q390">
        <v>0</v>
      </c>
      <c r="R390">
        <f t="shared" si="82"/>
        <v>3.3527175503344189E-3</v>
      </c>
      <c r="S390" s="4">
        <f t="shared" si="83"/>
        <v>1</v>
      </c>
      <c r="T390">
        <f t="shared" si="84"/>
        <v>-1</v>
      </c>
      <c r="U390">
        <f t="shared" si="85"/>
        <v>-1</v>
      </c>
    </row>
    <row r="391" spans="1:21">
      <c r="A391" t="s">
        <v>660</v>
      </c>
      <c r="B391" t="s">
        <v>56</v>
      </c>
      <c r="C391" t="s">
        <v>729</v>
      </c>
      <c r="D391" s="1">
        <v>99</v>
      </c>
      <c r="E391" s="1">
        <f t="shared" si="74"/>
        <v>82.5</v>
      </c>
      <c r="F391">
        <v>23.1</v>
      </c>
      <c r="G391" s="1">
        <v>74</v>
      </c>
      <c r="H391">
        <f t="shared" si="75"/>
        <v>-59.4</v>
      </c>
      <c r="I391">
        <f t="shared" si="76"/>
        <v>-3.4941176470588236</v>
      </c>
      <c r="J391">
        <f t="shared" si="77"/>
        <v>0</v>
      </c>
      <c r="K391">
        <f t="shared" si="78"/>
        <v>1.0909252297006058</v>
      </c>
      <c r="L391">
        <f t="shared" si="79"/>
        <v>0</v>
      </c>
      <c r="M391" s="4">
        <f t="shared" si="80"/>
        <v>0</v>
      </c>
      <c r="N391">
        <f t="shared" si="81"/>
        <v>0</v>
      </c>
      <c r="O391" cm="1">
        <f t="array" ref="O391:Q391">_xlfn.XLOOKUP(C391, X$2:X$7, AG$2:AI$7)</f>
        <v>55.4</v>
      </c>
      <c r="P391">
        <v>-0.253</v>
      </c>
      <c r="Q391">
        <v>0</v>
      </c>
      <c r="R391">
        <f t="shared" si="82"/>
        <v>4.7832087027122751E-7</v>
      </c>
      <c r="S391" s="4">
        <f t="shared" si="83"/>
        <v>1</v>
      </c>
      <c r="T391">
        <f t="shared" si="84"/>
        <v>-1</v>
      </c>
      <c r="U391">
        <f t="shared" si="85"/>
        <v>-1</v>
      </c>
    </row>
    <row r="392" spans="1:21">
      <c r="A392" t="s">
        <v>723</v>
      </c>
      <c r="B392" t="s">
        <v>56</v>
      </c>
      <c r="C392" t="s">
        <v>729</v>
      </c>
      <c r="D392" s="1">
        <v>99</v>
      </c>
      <c r="E392" s="1">
        <f t="shared" si="74"/>
        <v>82.5</v>
      </c>
      <c r="F392">
        <v>3.3</v>
      </c>
      <c r="G392" s="1">
        <v>139</v>
      </c>
      <c r="H392">
        <f t="shared" si="75"/>
        <v>-79.2</v>
      </c>
      <c r="I392">
        <f t="shared" si="76"/>
        <v>-4.658823529411765</v>
      </c>
      <c r="J392">
        <f t="shared" si="77"/>
        <v>0</v>
      </c>
      <c r="K392">
        <f t="shared" si="78"/>
        <v>1.0909252297006058</v>
      </c>
      <c r="L392">
        <f t="shared" si="79"/>
        <v>0</v>
      </c>
      <c r="M392" s="4">
        <f t="shared" si="80"/>
        <v>0</v>
      </c>
      <c r="N392">
        <f t="shared" si="81"/>
        <v>0</v>
      </c>
      <c r="O392" cm="1">
        <f t="array" ref="O392:Q392">_xlfn.XLOOKUP(C392, X$2:X$7, AG$2:AI$7)</f>
        <v>55.4</v>
      </c>
      <c r="P392">
        <v>-0.253</v>
      </c>
      <c r="Q392">
        <v>0</v>
      </c>
      <c r="R392">
        <f t="shared" si="82"/>
        <v>3.4494239599575593E-14</v>
      </c>
      <c r="S392" s="4">
        <f t="shared" si="83"/>
        <v>1</v>
      </c>
      <c r="T392">
        <f t="shared" si="84"/>
        <v>-1</v>
      </c>
      <c r="U392">
        <f t="shared" si="85"/>
        <v>-1</v>
      </c>
    </row>
    <row r="393" spans="1:21">
      <c r="A393" t="s">
        <v>313</v>
      </c>
      <c r="B393" t="s">
        <v>56</v>
      </c>
      <c r="C393" t="s">
        <v>407</v>
      </c>
      <c r="D393" s="1">
        <v>116.9</v>
      </c>
      <c r="E393" s="1">
        <f t="shared" si="74"/>
        <v>93.4</v>
      </c>
      <c r="F393">
        <v>19.5</v>
      </c>
      <c r="G393" s="1">
        <v>154</v>
      </c>
      <c r="H393">
        <f t="shared" si="75"/>
        <v>-73.900000000000006</v>
      </c>
      <c r="I393">
        <f t="shared" si="76"/>
        <v>-4.3470588235294123</v>
      </c>
      <c r="J393">
        <f t="shared" si="77"/>
        <v>0</v>
      </c>
      <c r="K393">
        <f t="shared" si="78"/>
        <v>0.94226603101549489</v>
      </c>
      <c r="L393">
        <f t="shared" si="79"/>
        <v>0</v>
      </c>
      <c r="M393" s="4">
        <f t="shared" si="80"/>
        <v>0</v>
      </c>
      <c r="N393">
        <f t="shared" si="81"/>
        <v>0</v>
      </c>
      <c r="O393" cm="1">
        <f t="array" ref="O393:Q393">_xlfn.XLOOKUP(C393, X$2:X$7, AG$2:AI$7)</f>
        <v>57.8</v>
      </c>
      <c r="P393">
        <v>-6.4299999999999996E-2</v>
      </c>
      <c r="Q393">
        <v>0</v>
      </c>
      <c r="R393">
        <f t="shared" si="82"/>
        <v>3.376975235068851E-3</v>
      </c>
      <c r="S393" s="4">
        <f t="shared" si="83"/>
        <v>1</v>
      </c>
      <c r="T393">
        <f t="shared" si="84"/>
        <v>-1</v>
      </c>
      <c r="U393">
        <f t="shared" si="85"/>
        <v>-1</v>
      </c>
    </row>
    <row r="394" spans="1:21">
      <c r="A394" t="s">
        <v>336</v>
      </c>
      <c r="B394" t="s">
        <v>56</v>
      </c>
      <c r="C394" t="s">
        <v>407</v>
      </c>
      <c r="D394" s="1">
        <v>116.9</v>
      </c>
      <c r="E394" s="1">
        <f t="shared" si="74"/>
        <v>93.4</v>
      </c>
      <c r="F394">
        <v>11.2</v>
      </c>
      <c r="G394" s="1">
        <v>177</v>
      </c>
      <c r="H394">
        <f t="shared" si="75"/>
        <v>-82.2</v>
      </c>
      <c r="I394">
        <f t="shared" si="76"/>
        <v>-4.8352941176470594</v>
      </c>
      <c r="J394">
        <f t="shared" si="77"/>
        <v>0</v>
      </c>
      <c r="K394">
        <f t="shared" si="78"/>
        <v>0.94226603101549489</v>
      </c>
      <c r="L394">
        <f t="shared" si="79"/>
        <v>0</v>
      </c>
      <c r="M394" s="4">
        <f t="shared" si="80"/>
        <v>0</v>
      </c>
      <c r="N394">
        <f t="shared" si="81"/>
        <v>0</v>
      </c>
      <c r="O394" cm="1">
        <f t="array" ref="O394:Q394">_xlfn.XLOOKUP(C394, X$2:X$7, AG$2:AI$7)</f>
        <v>57.8</v>
      </c>
      <c r="P394">
        <v>-6.4299999999999996E-2</v>
      </c>
      <c r="Q394">
        <v>0</v>
      </c>
      <c r="R394">
        <f t="shared" si="82"/>
        <v>7.695729010106315E-4</v>
      </c>
      <c r="S394" s="4">
        <f t="shared" si="83"/>
        <v>1</v>
      </c>
      <c r="T394">
        <f t="shared" si="84"/>
        <v>-1</v>
      </c>
      <c r="U394">
        <f t="shared" si="85"/>
        <v>-1</v>
      </c>
    </row>
    <row r="395" spans="1:21">
      <c r="A395" t="s">
        <v>358</v>
      </c>
      <c r="B395" t="s">
        <v>56</v>
      </c>
      <c r="C395" t="s">
        <v>407</v>
      </c>
      <c r="D395" s="1">
        <v>116.9</v>
      </c>
      <c r="E395" s="1">
        <f t="shared" si="74"/>
        <v>93.4</v>
      </c>
      <c r="F395">
        <v>8.1</v>
      </c>
      <c r="G395" s="1">
        <v>199</v>
      </c>
      <c r="H395">
        <f t="shared" si="75"/>
        <v>-85.300000000000011</v>
      </c>
      <c r="I395">
        <f t="shared" si="76"/>
        <v>-5.0176470588235302</v>
      </c>
      <c r="J395">
        <f t="shared" si="77"/>
        <v>0</v>
      </c>
      <c r="K395">
        <f t="shared" si="78"/>
        <v>0.94226603101549489</v>
      </c>
      <c r="L395">
        <f t="shared" si="79"/>
        <v>0</v>
      </c>
      <c r="M395" s="4">
        <f t="shared" si="80"/>
        <v>0</v>
      </c>
      <c r="N395">
        <f t="shared" si="81"/>
        <v>0</v>
      </c>
      <c r="O395" cm="1">
        <f t="array" ref="O395:Q395">_xlfn.XLOOKUP(C395, X$2:X$7, AG$2:AI$7)</f>
        <v>57.8</v>
      </c>
      <c r="P395">
        <v>-6.4299999999999996E-2</v>
      </c>
      <c r="Q395">
        <v>0</v>
      </c>
      <c r="R395">
        <f t="shared" si="82"/>
        <v>1.8702376361707647E-4</v>
      </c>
      <c r="S395" s="4">
        <f t="shared" si="83"/>
        <v>1</v>
      </c>
      <c r="T395">
        <f t="shared" si="84"/>
        <v>-1</v>
      </c>
      <c r="U395">
        <f t="shared" si="85"/>
        <v>-1</v>
      </c>
    </row>
    <row r="396" spans="1:21">
      <c r="A396" t="s">
        <v>361</v>
      </c>
      <c r="B396" t="s">
        <v>56</v>
      </c>
      <c r="C396" t="s">
        <v>407</v>
      </c>
      <c r="D396" s="1">
        <v>116.9</v>
      </c>
      <c r="E396" s="1">
        <f t="shared" si="74"/>
        <v>93.4</v>
      </c>
      <c r="F396">
        <v>8.1</v>
      </c>
      <c r="G396" s="1">
        <v>202</v>
      </c>
      <c r="H396">
        <f t="shared" si="75"/>
        <v>-85.300000000000011</v>
      </c>
      <c r="I396">
        <f t="shared" si="76"/>
        <v>-5.0176470588235302</v>
      </c>
      <c r="J396">
        <f t="shared" si="77"/>
        <v>0</v>
      </c>
      <c r="K396">
        <f t="shared" si="78"/>
        <v>0.94226603101549489</v>
      </c>
      <c r="L396">
        <f t="shared" si="79"/>
        <v>0</v>
      </c>
      <c r="M396" s="4">
        <f t="shared" si="80"/>
        <v>0</v>
      </c>
      <c r="N396">
        <f t="shared" si="81"/>
        <v>0</v>
      </c>
      <c r="O396" cm="1">
        <f t="array" ref="O396:Q396">_xlfn.XLOOKUP(C396, X$2:X$7, AG$2:AI$7)</f>
        <v>57.8</v>
      </c>
      <c r="P396">
        <v>-6.4299999999999996E-2</v>
      </c>
      <c r="Q396">
        <v>0</v>
      </c>
      <c r="R396">
        <f t="shared" si="82"/>
        <v>1.5421314238113127E-4</v>
      </c>
      <c r="S396" s="4">
        <f t="shared" si="83"/>
        <v>1</v>
      </c>
      <c r="T396">
        <f t="shared" si="84"/>
        <v>-1</v>
      </c>
      <c r="U396">
        <f t="shared" si="85"/>
        <v>-1</v>
      </c>
    </row>
    <row r="397" spans="1:21">
      <c r="A397" t="s">
        <v>402</v>
      </c>
      <c r="B397" t="s">
        <v>56</v>
      </c>
      <c r="C397" t="s">
        <v>407</v>
      </c>
      <c r="D397" s="1">
        <v>116.9</v>
      </c>
      <c r="E397" s="1">
        <f t="shared" si="74"/>
        <v>93.4</v>
      </c>
      <c r="F397">
        <v>0</v>
      </c>
      <c r="G397" s="1">
        <v>243</v>
      </c>
      <c r="H397">
        <f t="shared" si="75"/>
        <v>-93.4</v>
      </c>
      <c r="I397">
        <f t="shared" si="76"/>
        <v>-5.4941176470588236</v>
      </c>
      <c r="J397">
        <f t="shared" si="77"/>
        <v>0</v>
      </c>
      <c r="K397">
        <f t="shared" si="78"/>
        <v>0.94226603101549489</v>
      </c>
      <c r="L397">
        <f t="shared" si="79"/>
        <v>0</v>
      </c>
      <c r="M397" s="4">
        <f t="shared" si="80"/>
        <v>0</v>
      </c>
      <c r="N397">
        <f t="shared" si="81"/>
        <v>0</v>
      </c>
      <c r="O397" cm="1">
        <f t="array" ref="O397:Q397">_xlfn.XLOOKUP(C397, X$2:X$7, AG$2:AI$7)</f>
        <v>57.8</v>
      </c>
      <c r="P397">
        <v>-6.4299999999999996E-2</v>
      </c>
      <c r="Q397">
        <v>0</v>
      </c>
      <c r="R397">
        <f t="shared" si="82"/>
        <v>1.1045638972559905E-5</v>
      </c>
      <c r="S397" s="4">
        <f t="shared" si="83"/>
        <v>1</v>
      </c>
      <c r="T397">
        <f t="shared" si="84"/>
        <v>-1</v>
      </c>
      <c r="U397">
        <f t="shared" si="85"/>
        <v>-1</v>
      </c>
    </row>
    <row r="398" spans="1:21">
      <c r="A398" t="s">
        <v>753</v>
      </c>
      <c r="B398" t="s">
        <v>70</v>
      </c>
      <c r="C398" t="s">
        <v>764</v>
      </c>
      <c r="D398" s="1">
        <v>124.7</v>
      </c>
      <c r="E398" s="1">
        <f t="shared" si="74"/>
        <v>118.7</v>
      </c>
      <c r="F398">
        <v>113</v>
      </c>
      <c r="G398" s="1">
        <v>24</v>
      </c>
      <c r="H398">
        <f t="shared" si="75"/>
        <v>-5.7000000000000028</v>
      </c>
      <c r="I398">
        <f t="shared" si="76"/>
        <v>-0.33529411764705896</v>
      </c>
      <c r="J398">
        <f t="shared" si="77"/>
        <v>0</v>
      </c>
      <c r="K398">
        <f t="shared" si="78"/>
        <v>0.70591649737063444</v>
      </c>
      <c r="L398">
        <f t="shared" si="79"/>
        <v>0</v>
      </c>
      <c r="M398" s="4">
        <f t="shared" si="80"/>
        <v>0</v>
      </c>
      <c r="N398">
        <f t="shared" si="81"/>
        <v>0</v>
      </c>
      <c r="O398" cm="1">
        <f t="array" ref="O398:Q398">_xlfn.XLOOKUP(C398, X$2:X$7, AG$2:AI$7)</f>
        <v>3.22</v>
      </c>
      <c r="P398">
        <v>-0.14799999999999999</v>
      </c>
      <c r="Q398">
        <v>0</v>
      </c>
      <c r="R398">
        <f t="shared" si="82"/>
        <v>0.10772406369510021</v>
      </c>
      <c r="S398" s="4">
        <f t="shared" si="83"/>
        <v>1</v>
      </c>
      <c r="T398">
        <f t="shared" si="84"/>
        <v>-1</v>
      </c>
      <c r="U398">
        <f t="shared" si="85"/>
        <v>-1</v>
      </c>
    </row>
    <row r="399" spans="1:21">
      <c r="A399" t="s">
        <v>122</v>
      </c>
      <c r="B399" t="s">
        <v>70</v>
      </c>
      <c r="C399" t="s">
        <v>159</v>
      </c>
      <c r="D399" s="1">
        <v>228</v>
      </c>
      <c r="E399" s="1">
        <f t="shared" si="74"/>
        <v>190</v>
      </c>
      <c r="F399">
        <v>21.4</v>
      </c>
      <c r="G399" s="1">
        <v>52</v>
      </c>
      <c r="H399">
        <f t="shared" si="75"/>
        <v>-168.6</v>
      </c>
      <c r="I399">
        <f t="shared" si="76"/>
        <v>-9.9176470588235297</v>
      </c>
      <c r="J399">
        <f t="shared" si="77"/>
        <v>0</v>
      </c>
      <c r="K399">
        <f t="shared" si="78"/>
        <v>0.57566309754037293</v>
      </c>
      <c r="L399">
        <f t="shared" si="79"/>
        <v>0</v>
      </c>
      <c r="M399" s="4">
        <f t="shared" si="80"/>
        <v>0</v>
      </c>
      <c r="N399">
        <f t="shared" si="81"/>
        <v>0</v>
      </c>
      <c r="O399" cm="1">
        <f t="array" ref="O399:Q399">_xlfn.XLOOKUP(C399, X$2:X$7, AG$2:AI$7)</f>
        <v>56.4</v>
      </c>
      <c r="P399">
        <v>-0.16300000000000001</v>
      </c>
      <c r="Q399">
        <v>0</v>
      </c>
      <c r="R399">
        <f t="shared" si="82"/>
        <v>1.3717340889439645E-2</v>
      </c>
      <c r="S399" s="4">
        <f t="shared" si="83"/>
        <v>1</v>
      </c>
      <c r="T399">
        <f t="shared" si="84"/>
        <v>-1</v>
      </c>
      <c r="U399">
        <f t="shared" si="85"/>
        <v>-1</v>
      </c>
    </row>
    <row r="400" spans="1:21">
      <c r="A400" t="s">
        <v>515</v>
      </c>
      <c r="B400" t="s">
        <v>70</v>
      </c>
      <c r="C400" t="s">
        <v>586</v>
      </c>
      <c r="D400" s="1">
        <v>107.9</v>
      </c>
      <c r="E400" s="1">
        <f t="shared" si="74"/>
        <v>73</v>
      </c>
      <c r="F400">
        <v>22.9</v>
      </c>
      <c r="G400" s="1">
        <v>108</v>
      </c>
      <c r="H400">
        <f t="shared" si="75"/>
        <v>-50.1</v>
      </c>
      <c r="I400">
        <f t="shared" si="76"/>
        <v>-2.947058823529412</v>
      </c>
      <c r="J400">
        <f t="shared" si="77"/>
        <v>0</v>
      </c>
      <c r="K400">
        <f t="shared" si="78"/>
        <v>1.0011070456397422</v>
      </c>
      <c r="L400">
        <f t="shared" si="79"/>
        <v>0</v>
      </c>
      <c r="M400" s="4">
        <f t="shared" si="80"/>
        <v>0</v>
      </c>
      <c r="N400">
        <f t="shared" si="81"/>
        <v>0</v>
      </c>
      <c r="O400" cm="1">
        <f t="array" ref="O400:Q400">_xlfn.XLOOKUP(C400, X$2:X$7, AG$2:AI$7)</f>
        <v>5.0900000000000001E-2</v>
      </c>
      <c r="P400">
        <v>-3.9</v>
      </c>
      <c r="Q400">
        <v>73.900000000000006</v>
      </c>
      <c r="R400">
        <f t="shared" si="82"/>
        <v>287.54599919999998</v>
      </c>
      <c r="S400" s="4">
        <f t="shared" si="83"/>
        <v>1</v>
      </c>
      <c r="T400">
        <f t="shared" si="84"/>
        <v>-1</v>
      </c>
      <c r="U400">
        <f t="shared" si="85"/>
        <v>-1</v>
      </c>
    </row>
    <row r="401" spans="1:21">
      <c r="A401" t="s">
        <v>523</v>
      </c>
      <c r="B401" t="s">
        <v>70</v>
      </c>
      <c r="C401" t="s">
        <v>586</v>
      </c>
      <c r="D401" s="1">
        <v>107.9</v>
      </c>
      <c r="E401" s="1">
        <f t="shared" si="74"/>
        <v>73</v>
      </c>
      <c r="F401">
        <v>20.9</v>
      </c>
      <c r="G401" s="1">
        <v>117</v>
      </c>
      <c r="H401">
        <f t="shared" si="75"/>
        <v>-52.1</v>
      </c>
      <c r="I401">
        <f t="shared" si="76"/>
        <v>-3.0647058823529414</v>
      </c>
      <c r="J401">
        <f t="shared" si="77"/>
        <v>0</v>
      </c>
      <c r="K401">
        <f t="shared" si="78"/>
        <v>1.0011070456397422</v>
      </c>
      <c r="L401">
        <f t="shared" si="79"/>
        <v>0</v>
      </c>
      <c r="M401" s="4">
        <f t="shared" si="80"/>
        <v>0</v>
      </c>
      <c r="N401">
        <f t="shared" si="81"/>
        <v>0</v>
      </c>
      <c r="O401" cm="1">
        <f t="array" ref="O401:Q401">_xlfn.XLOOKUP(C401, X$2:X$7, AG$2:AI$7)</f>
        <v>5.0900000000000001E-2</v>
      </c>
      <c r="P401">
        <v>-3.9</v>
      </c>
      <c r="Q401">
        <v>73.900000000000006</v>
      </c>
      <c r="R401">
        <f t="shared" si="82"/>
        <v>366.8699067</v>
      </c>
      <c r="S401" s="4">
        <f t="shared" si="83"/>
        <v>1</v>
      </c>
      <c r="T401">
        <f t="shared" si="84"/>
        <v>-1</v>
      </c>
      <c r="U401">
        <f t="shared" si="85"/>
        <v>-1</v>
      </c>
    </row>
    <row r="402" spans="1:21">
      <c r="A402" t="s">
        <v>568</v>
      </c>
      <c r="B402" t="s">
        <v>70</v>
      </c>
      <c r="C402" t="s">
        <v>586</v>
      </c>
      <c r="D402" s="1">
        <v>107.9</v>
      </c>
      <c r="E402" s="1">
        <f t="shared" si="74"/>
        <v>73</v>
      </c>
      <c r="F402">
        <v>6.6</v>
      </c>
      <c r="G402" s="1">
        <v>163</v>
      </c>
      <c r="H402">
        <f t="shared" si="75"/>
        <v>-66.400000000000006</v>
      </c>
      <c r="I402">
        <f t="shared" si="76"/>
        <v>-3.9058823529411768</v>
      </c>
      <c r="J402">
        <f t="shared" si="77"/>
        <v>0</v>
      </c>
      <c r="K402">
        <f t="shared" si="78"/>
        <v>1.0011070456397422</v>
      </c>
      <c r="L402">
        <f t="shared" si="79"/>
        <v>0</v>
      </c>
      <c r="M402" s="4">
        <f t="shared" si="80"/>
        <v>0</v>
      </c>
      <c r="N402">
        <f t="shared" si="81"/>
        <v>0</v>
      </c>
      <c r="O402" cm="1">
        <f t="array" ref="O402:Q402">_xlfn.XLOOKUP(C402, X$2:X$7, AG$2:AI$7)</f>
        <v>5.0900000000000001E-2</v>
      </c>
      <c r="P402">
        <v>-3.9</v>
      </c>
      <c r="Q402">
        <v>73.900000000000006</v>
      </c>
      <c r="R402">
        <f t="shared" si="82"/>
        <v>922.58597070000019</v>
      </c>
      <c r="S402" s="4">
        <f t="shared" si="83"/>
        <v>1</v>
      </c>
      <c r="T402">
        <f t="shared" si="84"/>
        <v>-1</v>
      </c>
      <c r="U402">
        <f t="shared" si="85"/>
        <v>-1</v>
      </c>
    </row>
    <row r="403" spans="1:21">
      <c r="A403" t="s">
        <v>578</v>
      </c>
      <c r="B403" t="s">
        <v>70</v>
      </c>
      <c r="C403" t="s">
        <v>586</v>
      </c>
      <c r="D403" s="1">
        <v>107.9</v>
      </c>
      <c r="E403" s="1">
        <f t="shared" si="74"/>
        <v>73</v>
      </c>
      <c r="F403">
        <v>1.1000000000000001</v>
      </c>
      <c r="G403" s="1">
        <v>173</v>
      </c>
      <c r="H403">
        <f t="shared" si="75"/>
        <v>-71.900000000000006</v>
      </c>
      <c r="I403">
        <f t="shared" si="76"/>
        <v>-4.2294117647058824</v>
      </c>
      <c r="J403">
        <f t="shared" si="77"/>
        <v>0</v>
      </c>
      <c r="K403">
        <f t="shared" si="78"/>
        <v>1.0011070456397422</v>
      </c>
      <c r="L403">
        <f t="shared" si="79"/>
        <v>0</v>
      </c>
      <c r="M403" s="4">
        <f t="shared" si="80"/>
        <v>0</v>
      </c>
      <c r="N403">
        <f t="shared" si="81"/>
        <v>0</v>
      </c>
      <c r="O403" cm="1">
        <f t="array" ref="O403:Q403">_xlfn.XLOOKUP(C403, X$2:X$7, AG$2:AI$7)</f>
        <v>5.0900000000000001E-2</v>
      </c>
      <c r="P403">
        <v>-3.9</v>
      </c>
      <c r="Q403">
        <v>73.900000000000006</v>
      </c>
      <c r="R403">
        <f t="shared" si="82"/>
        <v>1076.6579787000001</v>
      </c>
      <c r="S403" s="4">
        <f t="shared" si="83"/>
        <v>1</v>
      </c>
      <c r="T403">
        <f t="shared" si="84"/>
        <v>-1</v>
      </c>
      <c r="U403">
        <f t="shared" si="85"/>
        <v>-1</v>
      </c>
    </row>
    <row r="404" spans="1:21">
      <c r="A404" t="s">
        <v>580</v>
      </c>
      <c r="B404" t="s">
        <v>70</v>
      </c>
      <c r="C404" t="s">
        <v>586</v>
      </c>
      <c r="D404" s="1">
        <v>107.9</v>
      </c>
      <c r="E404" s="1">
        <f t="shared" si="74"/>
        <v>73</v>
      </c>
      <c r="F404">
        <v>0</v>
      </c>
      <c r="G404" s="1">
        <v>175</v>
      </c>
      <c r="H404">
        <f t="shared" si="75"/>
        <v>-73</v>
      </c>
      <c r="I404">
        <f t="shared" si="76"/>
        <v>-4.2941176470588234</v>
      </c>
      <c r="J404">
        <f t="shared" si="77"/>
        <v>0</v>
      </c>
      <c r="K404">
        <f t="shared" si="78"/>
        <v>1.0011070456397422</v>
      </c>
      <c r="L404">
        <f t="shared" si="79"/>
        <v>0</v>
      </c>
      <c r="M404" s="4">
        <f t="shared" si="80"/>
        <v>0</v>
      </c>
      <c r="N404">
        <f t="shared" si="81"/>
        <v>0</v>
      </c>
      <c r="O404" cm="1">
        <f t="array" ref="O404:Q404">_xlfn.XLOOKUP(C404, X$2:X$7, AG$2:AI$7)</f>
        <v>5.0900000000000001E-2</v>
      </c>
      <c r="P404">
        <v>-3.9</v>
      </c>
      <c r="Q404">
        <v>73.900000000000006</v>
      </c>
      <c r="R404">
        <f t="shared" si="82"/>
        <v>1108.8979875</v>
      </c>
      <c r="S404" s="4">
        <f t="shared" si="83"/>
        <v>1</v>
      </c>
      <c r="T404">
        <f t="shared" si="84"/>
        <v>-1</v>
      </c>
      <c r="U404">
        <f t="shared" si="85"/>
        <v>-1</v>
      </c>
    </row>
    <row r="405" spans="1:21">
      <c r="A405" t="s">
        <v>626</v>
      </c>
      <c r="B405" t="s">
        <v>70</v>
      </c>
      <c r="C405" t="s">
        <v>729</v>
      </c>
      <c r="D405" s="1">
        <v>99</v>
      </c>
      <c r="E405" s="1">
        <f t="shared" si="74"/>
        <v>82.5</v>
      </c>
      <c r="F405">
        <v>40.4</v>
      </c>
      <c r="G405" s="1">
        <v>40</v>
      </c>
      <c r="H405">
        <f t="shared" si="75"/>
        <v>-42.1</v>
      </c>
      <c r="I405">
        <f t="shared" si="76"/>
        <v>-2.4764705882352942</v>
      </c>
      <c r="J405">
        <f t="shared" si="77"/>
        <v>0</v>
      </c>
      <c r="K405">
        <f t="shared" si="78"/>
        <v>1.0909252297006058</v>
      </c>
      <c r="L405">
        <f t="shared" si="79"/>
        <v>0</v>
      </c>
      <c r="M405" s="4">
        <f t="shared" si="80"/>
        <v>0</v>
      </c>
      <c r="N405">
        <f t="shared" si="81"/>
        <v>0</v>
      </c>
      <c r="O405" cm="1">
        <f t="array" ref="O405:Q405">_xlfn.XLOOKUP(C405, X$2:X$7, AG$2:AI$7)</f>
        <v>55.4</v>
      </c>
      <c r="P405">
        <v>-0.253</v>
      </c>
      <c r="Q405">
        <v>0</v>
      </c>
      <c r="R405">
        <f t="shared" si="82"/>
        <v>2.6032774946614366E-3</v>
      </c>
      <c r="S405" s="4">
        <f t="shared" si="83"/>
        <v>1</v>
      </c>
      <c r="T405">
        <f t="shared" si="84"/>
        <v>-1</v>
      </c>
      <c r="U405">
        <f t="shared" si="85"/>
        <v>-1</v>
      </c>
    </row>
    <row r="406" spans="1:21">
      <c r="A406" t="s">
        <v>659</v>
      </c>
      <c r="B406" t="s">
        <v>70</v>
      </c>
      <c r="C406" t="s">
        <v>729</v>
      </c>
      <c r="D406" s="1">
        <v>99</v>
      </c>
      <c r="E406" s="1">
        <f t="shared" si="74"/>
        <v>82.5</v>
      </c>
      <c r="F406">
        <v>23.2</v>
      </c>
      <c r="G406" s="1">
        <v>73</v>
      </c>
      <c r="H406">
        <f t="shared" si="75"/>
        <v>-59.3</v>
      </c>
      <c r="I406">
        <f t="shared" si="76"/>
        <v>-3.4882352941176471</v>
      </c>
      <c r="J406">
        <f t="shared" si="77"/>
        <v>0</v>
      </c>
      <c r="K406">
        <f t="shared" si="78"/>
        <v>1.0909252297006058</v>
      </c>
      <c r="L406">
        <f t="shared" si="79"/>
        <v>0</v>
      </c>
      <c r="M406" s="4">
        <f t="shared" si="80"/>
        <v>0</v>
      </c>
      <c r="N406">
        <f t="shared" si="81"/>
        <v>0</v>
      </c>
      <c r="O406" cm="1">
        <f t="array" ref="O406:Q406">_xlfn.XLOOKUP(C406, X$2:X$7, AG$2:AI$7)</f>
        <v>55.4</v>
      </c>
      <c r="P406">
        <v>-0.253</v>
      </c>
      <c r="Q406">
        <v>0</v>
      </c>
      <c r="R406">
        <f t="shared" si="82"/>
        <v>6.160214497833007E-7</v>
      </c>
      <c r="S406" s="4">
        <f t="shared" si="83"/>
        <v>1</v>
      </c>
      <c r="T406">
        <f t="shared" si="84"/>
        <v>-1</v>
      </c>
      <c r="U406">
        <f t="shared" si="85"/>
        <v>-1</v>
      </c>
    </row>
    <row r="407" spans="1:21">
      <c r="A407" t="s">
        <v>696</v>
      </c>
      <c r="B407" t="s">
        <v>70</v>
      </c>
      <c r="C407" t="s">
        <v>729</v>
      </c>
      <c r="D407" s="1">
        <v>99</v>
      </c>
      <c r="E407" s="1">
        <f t="shared" si="74"/>
        <v>82.5</v>
      </c>
      <c r="F407">
        <v>12.1</v>
      </c>
      <c r="G407" s="1">
        <v>111</v>
      </c>
      <c r="H407">
        <f t="shared" si="75"/>
        <v>-70.400000000000006</v>
      </c>
      <c r="I407">
        <f t="shared" si="76"/>
        <v>-4.1411764705882357</v>
      </c>
      <c r="J407">
        <f t="shared" si="77"/>
        <v>0</v>
      </c>
      <c r="K407">
        <f t="shared" si="78"/>
        <v>1.0909252297006058</v>
      </c>
      <c r="L407">
        <f t="shared" si="79"/>
        <v>0</v>
      </c>
      <c r="M407" s="4">
        <f t="shared" si="80"/>
        <v>0</v>
      </c>
      <c r="N407">
        <f t="shared" si="81"/>
        <v>0</v>
      </c>
      <c r="O407" cm="1">
        <f t="array" ref="O407:Q407">_xlfn.XLOOKUP(C407, X$2:X$7, AG$2:AI$7)</f>
        <v>55.4</v>
      </c>
      <c r="P407">
        <v>-0.253</v>
      </c>
      <c r="Q407">
        <v>0</v>
      </c>
      <c r="R407">
        <f t="shared" si="82"/>
        <v>4.1142311259164897E-11</v>
      </c>
      <c r="S407" s="4">
        <f t="shared" si="83"/>
        <v>1</v>
      </c>
      <c r="T407">
        <f t="shared" si="84"/>
        <v>-1</v>
      </c>
      <c r="U407">
        <f t="shared" si="85"/>
        <v>-1</v>
      </c>
    </row>
    <row r="408" spans="1:21">
      <c r="A408" t="s">
        <v>277</v>
      </c>
      <c r="B408" t="s">
        <v>70</v>
      </c>
      <c r="C408" t="s">
        <v>407</v>
      </c>
      <c r="D408" s="1">
        <v>116.9</v>
      </c>
      <c r="E408" s="1">
        <f t="shared" si="74"/>
        <v>93.4</v>
      </c>
      <c r="F408">
        <v>40.9</v>
      </c>
      <c r="G408" s="1">
        <v>118</v>
      </c>
      <c r="H408">
        <f t="shared" si="75"/>
        <v>-52.500000000000007</v>
      </c>
      <c r="I408">
        <f t="shared" si="76"/>
        <v>-3.0882352941176476</v>
      </c>
      <c r="J408">
        <f t="shared" si="77"/>
        <v>0</v>
      </c>
      <c r="K408">
        <f t="shared" si="78"/>
        <v>0.94226603101549489</v>
      </c>
      <c r="L408">
        <f t="shared" si="79"/>
        <v>0</v>
      </c>
      <c r="M408" s="4">
        <f t="shared" si="80"/>
        <v>0</v>
      </c>
      <c r="N408">
        <f t="shared" si="81"/>
        <v>0</v>
      </c>
      <c r="O408" cm="1">
        <f t="array" ref="O408:Q408">_xlfn.XLOOKUP(C408, X$2:X$7, AG$2:AI$7)</f>
        <v>57.8</v>
      </c>
      <c r="P408">
        <v>-6.4299999999999996E-2</v>
      </c>
      <c r="Q408">
        <v>0</v>
      </c>
      <c r="R408">
        <f t="shared" si="82"/>
        <v>3.4184776314573125E-2</v>
      </c>
      <c r="S408" s="4">
        <f t="shared" si="83"/>
        <v>1</v>
      </c>
      <c r="T408">
        <f t="shared" si="84"/>
        <v>-1</v>
      </c>
      <c r="U408">
        <f t="shared" si="85"/>
        <v>-1</v>
      </c>
    </row>
    <row r="409" spans="1:21">
      <c r="A409" t="s">
        <v>312</v>
      </c>
      <c r="B409" t="s">
        <v>70</v>
      </c>
      <c r="C409" t="s">
        <v>407</v>
      </c>
      <c r="D409" s="1">
        <v>116.9</v>
      </c>
      <c r="E409" s="1">
        <f t="shared" si="74"/>
        <v>93.4</v>
      </c>
      <c r="F409">
        <v>19.600000000000001</v>
      </c>
      <c r="G409" s="1">
        <v>153</v>
      </c>
      <c r="H409">
        <f t="shared" si="75"/>
        <v>-73.800000000000011</v>
      </c>
      <c r="I409">
        <f t="shared" si="76"/>
        <v>-4.3411764705882359</v>
      </c>
      <c r="J409">
        <f t="shared" si="77"/>
        <v>0</v>
      </c>
      <c r="K409">
        <f t="shared" si="78"/>
        <v>0.94226603101549489</v>
      </c>
      <c r="L409">
        <f t="shared" si="79"/>
        <v>0</v>
      </c>
      <c r="M409" s="4">
        <f t="shared" si="80"/>
        <v>0</v>
      </c>
      <c r="N409">
        <f t="shared" si="81"/>
        <v>0</v>
      </c>
      <c r="O409" cm="1">
        <f t="array" ref="O409:Q409">_xlfn.XLOOKUP(C409, X$2:X$7, AG$2:AI$7)</f>
        <v>57.8</v>
      </c>
      <c r="P409">
        <v>-6.4299999999999996E-2</v>
      </c>
      <c r="Q409">
        <v>0</v>
      </c>
      <c r="R409">
        <f t="shared" si="82"/>
        <v>3.6012478412251665E-3</v>
      </c>
      <c r="S409" s="4">
        <f t="shared" si="83"/>
        <v>1</v>
      </c>
      <c r="T409">
        <f t="shared" si="84"/>
        <v>-1</v>
      </c>
      <c r="U409">
        <f t="shared" si="85"/>
        <v>-1</v>
      </c>
    </row>
    <row r="410" spans="1:21">
      <c r="A410" t="s">
        <v>349</v>
      </c>
      <c r="B410" t="s">
        <v>70</v>
      </c>
      <c r="C410" t="s">
        <v>407</v>
      </c>
      <c r="D410" s="1">
        <v>116.9</v>
      </c>
      <c r="E410" s="1">
        <f t="shared" si="74"/>
        <v>93.4</v>
      </c>
      <c r="F410">
        <v>8.4</v>
      </c>
      <c r="G410" s="1">
        <v>190</v>
      </c>
      <c r="H410">
        <f t="shared" si="75"/>
        <v>-85</v>
      </c>
      <c r="I410">
        <f t="shared" si="76"/>
        <v>-5</v>
      </c>
      <c r="J410">
        <f t="shared" si="77"/>
        <v>0</v>
      </c>
      <c r="K410">
        <f t="shared" si="78"/>
        <v>0.94226603101549489</v>
      </c>
      <c r="L410">
        <f t="shared" si="79"/>
        <v>0</v>
      </c>
      <c r="M410" s="4">
        <f t="shared" si="80"/>
        <v>0</v>
      </c>
      <c r="N410">
        <f t="shared" si="81"/>
        <v>0</v>
      </c>
      <c r="O410" cm="1">
        <f t="array" ref="O410:Q410">_xlfn.XLOOKUP(C410, X$2:X$7, AG$2:AI$7)</f>
        <v>57.8</v>
      </c>
      <c r="P410">
        <v>-6.4299999999999996E-2</v>
      </c>
      <c r="Q410">
        <v>0</v>
      </c>
      <c r="R410">
        <f t="shared" si="82"/>
        <v>3.3359767030000288E-4</v>
      </c>
      <c r="S410" s="4">
        <f t="shared" si="83"/>
        <v>1</v>
      </c>
      <c r="T410">
        <f t="shared" si="84"/>
        <v>-1</v>
      </c>
      <c r="U410">
        <f t="shared" si="85"/>
        <v>-1</v>
      </c>
    </row>
    <row r="411" spans="1:21">
      <c r="A411" t="s">
        <v>351</v>
      </c>
      <c r="B411" t="s">
        <v>70</v>
      </c>
      <c r="C411" t="s">
        <v>407</v>
      </c>
      <c r="D411" s="1">
        <v>116.9</v>
      </c>
      <c r="E411" s="1">
        <f t="shared" si="74"/>
        <v>93.4</v>
      </c>
      <c r="F411">
        <v>8.3000000000000007</v>
      </c>
      <c r="G411" s="1">
        <v>192</v>
      </c>
      <c r="H411">
        <f t="shared" si="75"/>
        <v>-85.100000000000009</v>
      </c>
      <c r="I411">
        <f t="shared" si="76"/>
        <v>-5.0058823529411773</v>
      </c>
      <c r="J411">
        <f t="shared" si="77"/>
        <v>0</v>
      </c>
      <c r="K411">
        <f t="shared" si="78"/>
        <v>0.94226603101549489</v>
      </c>
      <c r="L411">
        <f t="shared" si="79"/>
        <v>0</v>
      </c>
      <c r="M411" s="4">
        <f t="shared" si="80"/>
        <v>0</v>
      </c>
      <c r="N411">
        <f t="shared" si="81"/>
        <v>0</v>
      </c>
      <c r="O411" cm="1">
        <f t="array" ref="O411:Q411">_xlfn.XLOOKUP(C411, X$2:X$7, AG$2:AI$7)</f>
        <v>57.8</v>
      </c>
      <c r="P411">
        <v>-6.4299999999999996E-2</v>
      </c>
      <c r="Q411">
        <v>0</v>
      </c>
      <c r="R411">
        <f t="shared" si="82"/>
        <v>2.9334098008824695E-4</v>
      </c>
      <c r="S411" s="4">
        <f t="shared" si="83"/>
        <v>1</v>
      </c>
      <c r="T411">
        <f t="shared" si="84"/>
        <v>-1</v>
      </c>
      <c r="U411">
        <f t="shared" si="85"/>
        <v>-1</v>
      </c>
    </row>
    <row r="412" spans="1:21">
      <c r="A412" t="s">
        <v>373</v>
      </c>
      <c r="B412" t="s">
        <v>70</v>
      </c>
      <c r="C412" t="s">
        <v>407</v>
      </c>
      <c r="D412" s="1">
        <v>116.9</v>
      </c>
      <c r="E412" s="1">
        <f t="shared" si="74"/>
        <v>93.4</v>
      </c>
      <c r="F412">
        <v>6.8</v>
      </c>
      <c r="G412" s="1">
        <v>214</v>
      </c>
      <c r="H412">
        <f t="shared" si="75"/>
        <v>-86.600000000000009</v>
      </c>
      <c r="I412">
        <f t="shared" si="76"/>
        <v>-5.0941176470588241</v>
      </c>
      <c r="J412">
        <f t="shared" si="77"/>
        <v>0</v>
      </c>
      <c r="K412">
        <f t="shared" si="78"/>
        <v>0.94226603101549489</v>
      </c>
      <c r="L412">
        <f t="shared" si="79"/>
        <v>0</v>
      </c>
      <c r="M412" s="4">
        <f t="shared" si="80"/>
        <v>0</v>
      </c>
      <c r="N412">
        <f t="shared" si="81"/>
        <v>0</v>
      </c>
      <c r="O412" cm="1">
        <f t="array" ref="O412:Q412">_xlfn.XLOOKUP(C412, X$2:X$7, AG$2:AI$7)</f>
        <v>57.8</v>
      </c>
      <c r="P412">
        <v>-6.4299999999999996E-2</v>
      </c>
      <c r="Q412">
        <v>0</v>
      </c>
      <c r="R412">
        <f t="shared" si="82"/>
        <v>7.1288547254170974E-5</v>
      </c>
      <c r="S412" s="4">
        <f t="shared" si="83"/>
        <v>1</v>
      </c>
      <c r="T412">
        <f t="shared" si="84"/>
        <v>-1</v>
      </c>
      <c r="U412">
        <f t="shared" si="85"/>
        <v>-1</v>
      </c>
    </row>
    <row r="413" spans="1:21">
      <c r="A413" t="s">
        <v>124</v>
      </c>
      <c r="B413" t="s">
        <v>72</v>
      </c>
      <c r="C413" t="s">
        <v>159</v>
      </c>
      <c r="D413" s="1">
        <v>228</v>
      </c>
      <c r="E413" s="1">
        <f t="shared" si="74"/>
        <v>190</v>
      </c>
      <c r="F413">
        <v>19.899999999999999</v>
      </c>
      <c r="G413" s="1">
        <v>54</v>
      </c>
      <c r="H413">
        <f t="shared" si="75"/>
        <v>-170.1</v>
      </c>
      <c r="I413">
        <f t="shared" si="76"/>
        <v>-10.005882352941176</v>
      </c>
      <c r="J413">
        <f t="shared" si="77"/>
        <v>0</v>
      </c>
      <c r="K413">
        <f t="shared" si="78"/>
        <v>0.57566309754037293</v>
      </c>
      <c r="L413">
        <f t="shared" si="79"/>
        <v>0</v>
      </c>
      <c r="M413" s="4">
        <f t="shared" si="80"/>
        <v>0</v>
      </c>
      <c r="N413">
        <f t="shared" si="81"/>
        <v>0</v>
      </c>
      <c r="O413" cm="1">
        <f t="array" ref="O413:Q413">_xlfn.XLOOKUP(C413, X$2:X$7, AG$2:AI$7)</f>
        <v>56.4</v>
      </c>
      <c r="P413">
        <v>-0.16300000000000001</v>
      </c>
      <c r="Q413">
        <v>0</v>
      </c>
      <c r="R413">
        <f t="shared" si="82"/>
        <v>9.9012478117667339E-3</v>
      </c>
      <c r="S413" s="4">
        <f t="shared" si="83"/>
        <v>1</v>
      </c>
      <c r="T413">
        <f t="shared" si="84"/>
        <v>-1</v>
      </c>
      <c r="U413">
        <f t="shared" si="85"/>
        <v>-1</v>
      </c>
    </row>
    <row r="414" spans="1:21">
      <c r="A414" t="s">
        <v>125</v>
      </c>
      <c r="B414" t="s">
        <v>72</v>
      </c>
      <c r="C414" t="s">
        <v>159</v>
      </c>
      <c r="D414" s="1">
        <v>228</v>
      </c>
      <c r="E414" s="1">
        <f t="shared" si="74"/>
        <v>190</v>
      </c>
      <c r="F414">
        <v>19.600000000000001</v>
      </c>
      <c r="G414" s="1">
        <v>55</v>
      </c>
      <c r="H414">
        <f t="shared" si="75"/>
        <v>-170.4</v>
      </c>
      <c r="I414">
        <f t="shared" si="76"/>
        <v>-10.023529411764706</v>
      </c>
      <c r="J414">
        <f t="shared" si="77"/>
        <v>0</v>
      </c>
      <c r="K414">
        <f t="shared" si="78"/>
        <v>0.57566309754037293</v>
      </c>
      <c r="L414">
        <f t="shared" si="79"/>
        <v>0</v>
      </c>
      <c r="M414" s="4">
        <f t="shared" si="80"/>
        <v>0</v>
      </c>
      <c r="N414">
        <f t="shared" si="81"/>
        <v>0</v>
      </c>
      <c r="O414" cm="1">
        <f t="array" ref="O414:Q414">_xlfn.XLOOKUP(C414, X$2:X$7, AG$2:AI$7)</f>
        <v>56.4</v>
      </c>
      <c r="P414">
        <v>-0.16300000000000001</v>
      </c>
      <c r="Q414">
        <v>0</v>
      </c>
      <c r="R414">
        <f t="shared" si="82"/>
        <v>8.4120128951862584E-3</v>
      </c>
      <c r="S414" s="4">
        <f t="shared" si="83"/>
        <v>1</v>
      </c>
      <c r="T414">
        <f t="shared" si="84"/>
        <v>-1</v>
      </c>
      <c r="U414">
        <f t="shared" si="85"/>
        <v>-1</v>
      </c>
    </row>
    <row r="415" spans="1:21">
      <c r="A415" t="s">
        <v>155</v>
      </c>
      <c r="B415" t="s">
        <v>72</v>
      </c>
      <c r="C415" t="s">
        <v>159</v>
      </c>
      <c r="D415" s="1">
        <v>228</v>
      </c>
      <c r="E415" s="1">
        <f t="shared" si="74"/>
        <v>190</v>
      </c>
      <c r="F415">
        <v>1.5</v>
      </c>
      <c r="G415" s="1">
        <v>85</v>
      </c>
      <c r="H415">
        <f t="shared" si="75"/>
        <v>-188.5</v>
      </c>
      <c r="I415">
        <f t="shared" si="76"/>
        <v>-11.088235294117647</v>
      </c>
      <c r="J415">
        <f t="shared" si="77"/>
        <v>0</v>
      </c>
      <c r="K415">
        <f t="shared" si="78"/>
        <v>0.57566309754037293</v>
      </c>
      <c r="L415">
        <f t="shared" si="79"/>
        <v>0</v>
      </c>
      <c r="M415" s="4">
        <f t="shared" si="80"/>
        <v>0</v>
      </c>
      <c r="N415">
        <f t="shared" si="81"/>
        <v>0</v>
      </c>
      <c r="O415" cm="1">
        <f t="array" ref="O415:Q415">_xlfn.XLOOKUP(C415, X$2:X$7, AG$2:AI$7)</f>
        <v>56.4</v>
      </c>
      <c r="P415">
        <v>-0.16300000000000001</v>
      </c>
      <c r="Q415">
        <v>0</v>
      </c>
      <c r="R415">
        <f t="shared" si="82"/>
        <v>6.3270302849787087E-5</v>
      </c>
      <c r="S415" s="4">
        <f t="shared" si="83"/>
        <v>1</v>
      </c>
      <c r="T415">
        <f t="shared" si="84"/>
        <v>-1</v>
      </c>
      <c r="U415">
        <f t="shared" si="85"/>
        <v>-1</v>
      </c>
    </row>
    <row r="416" spans="1:21">
      <c r="A416" t="s">
        <v>503</v>
      </c>
      <c r="B416" t="s">
        <v>72</v>
      </c>
      <c r="C416" t="s">
        <v>586</v>
      </c>
      <c r="D416" s="1">
        <v>107.9</v>
      </c>
      <c r="E416" s="1">
        <f t="shared" si="74"/>
        <v>73</v>
      </c>
      <c r="F416">
        <v>29.2</v>
      </c>
      <c r="G416" s="1">
        <v>96</v>
      </c>
      <c r="H416">
        <f t="shared" si="75"/>
        <v>-43.8</v>
      </c>
      <c r="I416">
        <f t="shared" si="76"/>
        <v>-2.5764705882352938</v>
      </c>
      <c r="J416">
        <f t="shared" si="77"/>
        <v>0</v>
      </c>
      <c r="K416">
        <f t="shared" si="78"/>
        <v>1.0011070456397422</v>
      </c>
      <c r="L416">
        <f t="shared" si="79"/>
        <v>0</v>
      </c>
      <c r="M416" s="4">
        <f t="shared" si="80"/>
        <v>0</v>
      </c>
      <c r="N416">
        <f t="shared" si="81"/>
        <v>0</v>
      </c>
      <c r="O416" cm="1">
        <f t="array" ref="O416:Q416">_xlfn.XLOOKUP(C416, X$2:X$7, AG$2:AI$7)</f>
        <v>5.0900000000000001E-2</v>
      </c>
      <c r="P416">
        <v>-3.9</v>
      </c>
      <c r="Q416">
        <v>73.900000000000006</v>
      </c>
      <c r="R416">
        <f t="shared" si="82"/>
        <v>196.74966480000006</v>
      </c>
      <c r="S416" s="4">
        <f t="shared" si="83"/>
        <v>1</v>
      </c>
      <c r="T416">
        <f t="shared" si="84"/>
        <v>-1</v>
      </c>
      <c r="U416">
        <f t="shared" si="85"/>
        <v>-1</v>
      </c>
    </row>
    <row r="417" spans="1:21">
      <c r="A417" t="s">
        <v>546</v>
      </c>
      <c r="B417" t="s">
        <v>72</v>
      </c>
      <c r="C417" t="s">
        <v>586</v>
      </c>
      <c r="D417" s="1">
        <v>107.9</v>
      </c>
      <c r="E417" s="1">
        <f t="shared" si="74"/>
        <v>73</v>
      </c>
      <c r="F417">
        <v>11.9</v>
      </c>
      <c r="G417" s="1">
        <v>141</v>
      </c>
      <c r="H417">
        <f t="shared" si="75"/>
        <v>-61.1</v>
      </c>
      <c r="I417">
        <f t="shared" si="76"/>
        <v>-3.5941176470588236</v>
      </c>
      <c r="J417">
        <f t="shared" si="77"/>
        <v>0</v>
      </c>
      <c r="K417">
        <f t="shared" si="78"/>
        <v>1.0011070456397422</v>
      </c>
      <c r="L417">
        <f t="shared" si="79"/>
        <v>0</v>
      </c>
      <c r="M417" s="4">
        <f t="shared" si="80"/>
        <v>0</v>
      </c>
      <c r="N417">
        <f t="shared" si="81"/>
        <v>0</v>
      </c>
      <c r="O417" cm="1">
        <f t="array" ref="O417:Q417">_xlfn.XLOOKUP(C417, X$2:X$7, AG$2:AI$7)</f>
        <v>5.0900000000000001E-2</v>
      </c>
      <c r="P417">
        <v>-3.9</v>
      </c>
      <c r="Q417">
        <v>73.900000000000006</v>
      </c>
      <c r="R417">
        <f t="shared" si="82"/>
        <v>625.44536430000005</v>
      </c>
      <c r="S417" s="4">
        <f t="shared" si="83"/>
        <v>1</v>
      </c>
      <c r="T417">
        <f t="shared" si="84"/>
        <v>-1</v>
      </c>
      <c r="U417">
        <f t="shared" si="85"/>
        <v>-1</v>
      </c>
    </row>
    <row r="418" spans="1:21">
      <c r="A418" t="s">
        <v>555</v>
      </c>
      <c r="B418" t="s">
        <v>72</v>
      </c>
      <c r="C418" t="s">
        <v>586</v>
      </c>
      <c r="D418" s="1">
        <v>107.9</v>
      </c>
      <c r="E418" s="1">
        <f t="shared" si="74"/>
        <v>73</v>
      </c>
      <c r="F418">
        <v>9.1</v>
      </c>
      <c r="G418" s="1">
        <v>150</v>
      </c>
      <c r="H418">
        <f t="shared" si="75"/>
        <v>-63.9</v>
      </c>
      <c r="I418">
        <f t="shared" si="76"/>
        <v>-3.7588235294117647</v>
      </c>
      <c r="J418">
        <f t="shared" si="77"/>
        <v>0</v>
      </c>
      <c r="K418">
        <f t="shared" si="78"/>
        <v>1.0011070456397422</v>
      </c>
      <c r="L418">
        <f t="shared" si="79"/>
        <v>0</v>
      </c>
      <c r="M418" s="4">
        <f t="shared" si="80"/>
        <v>0</v>
      </c>
      <c r="N418">
        <f t="shared" si="81"/>
        <v>0</v>
      </c>
      <c r="O418" cm="1">
        <f t="array" ref="O418:Q418">_xlfn.XLOOKUP(C418, X$2:X$7, AG$2:AI$7)</f>
        <v>5.0900000000000001E-2</v>
      </c>
      <c r="P418">
        <v>-3.9</v>
      </c>
      <c r="Q418">
        <v>73.900000000000006</v>
      </c>
      <c r="R418">
        <f t="shared" si="82"/>
        <v>740.05304999999998</v>
      </c>
      <c r="S418" s="4">
        <f t="shared" si="83"/>
        <v>1</v>
      </c>
      <c r="T418">
        <f t="shared" si="84"/>
        <v>-1</v>
      </c>
      <c r="U418">
        <f t="shared" si="85"/>
        <v>-1</v>
      </c>
    </row>
    <row r="419" spans="1:21">
      <c r="A419" t="s">
        <v>585</v>
      </c>
      <c r="B419" t="s">
        <v>72</v>
      </c>
      <c r="C419" t="s">
        <v>586</v>
      </c>
      <c r="D419" s="1">
        <v>107.9</v>
      </c>
      <c r="E419" s="1">
        <f t="shared" si="74"/>
        <v>73</v>
      </c>
      <c r="F419">
        <v>0</v>
      </c>
      <c r="G419" s="1">
        <v>180</v>
      </c>
      <c r="H419">
        <f t="shared" si="75"/>
        <v>-73</v>
      </c>
      <c r="I419">
        <f t="shared" si="76"/>
        <v>-4.2941176470588234</v>
      </c>
      <c r="J419">
        <f t="shared" si="77"/>
        <v>0</v>
      </c>
      <c r="K419">
        <f t="shared" si="78"/>
        <v>1.0011070456397422</v>
      </c>
      <c r="L419">
        <f t="shared" si="79"/>
        <v>0</v>
      </c>
      <c r="M419" s="4">
        <f t="shared" si="80"/>
        <v>0</v>
      </c>
      <c r="N419">
        <f t="shared" si="81"/>
        <v>0</v>
      </c>
      <c r="O419" cm="1">
        <f t="array" ref="O419:Q419">_xlfn.XLOOKUP(C419, X$2:X$7, AG$2:AI$7)</f>
        <v>5.0900000000000001E-2</v>
      </c>
      <c r="P419">
        <v>-3.9</v>
      </c>
      <c r="Q419">
        <v>73.900000000000006</v>
      </c>
      <c r="R419">
        <f t="shared" si="82"/>
        <v>1191.5770200000002</v>
      </c>
      <c r="S419" s="4">
        <f t="shared" si="83"/>
        <v>1</v>
      </c>
      <c r="T419">
        <f t="shared" si="84"/>
        <v>-1</v>
      </c>
      <c r="U419">
        <f t="shared" si="85"/>
        <v>-1</v>
      </c>
    </row>
    <row r="420" spans="1:21">
      <c r="A420" t="s">
        <v>631</v>
      </c>
      <c r="B420" t="s">
        <v>72</v>
      </c>
      <c r="C420" t="s">
        <v>729</v>
      </c>
      <c r="D420" s="1">
        <v>99</v>
      </c>
      <c r="E420" s="1">
        <f t="shared" si="74"/>
        <v>82.5</v>
      </c>
      <c r="F420">
        <v>38.799999999999997</v>
      </c>
      <c r="G420" s="1">
        <v>45</v>
      </c>
      <c r="H420">
        <f t="shared" si="75"/>
        <v>-43.7</v>
      </c>
      <c r="I420">
        <f t="shared" si="76"/>
        <v>-2.5705882352941178</v>
      </c>
      <c r="J420">
        <f t="shared" si="77"/>
        <v>0</v>
      </c>
      <c r="K420">
        <f t="shared" si="78"/>
        <v>1.0909252297006058</v>
      </c>
      <c r="L420">
        <f t="shared" si="79"/>
        <v>0</v>
      </c>
      <c r="M420" s="4">
        <f t="shared" si="80"/>
        <v>0</v>
      </c>
      <c r="N420">
        <f t="shared" si="81"/>
        <v>0</v>
      </c>
      <c r="O420" cm="1">
        <f t="array" ref="O420:Q420">_xlfn.XLOOKUP(C420, X$2:X$7, AG$2:AI$7)</f>
        <v>55.4</v>
      </c>
      <c r="P420">
        <v>-0.253</v>
      </c>
      <c r="Q420">
        <v>0</v>
      </c>
      <c r="R420">
        <f t="shared" si="82"/>
        <v>7.3474720775170972E-4</v>
      </c>
      <c r="S420" s="4">
        <f t="shared" si="83"/>
        <v>1</v>
      </c>
      <c r="T420">
        <f t="shared" si="84"/>
        <v>-1</v>
      </c>
      <c r="U420">
        <f t="shared" si="85"/>
        <v>-1</v>
      </c>
    </row>
    <row r="421" spans="1:21">
      <c r="A421" t="s">
        <v>672</v>
      </c>
      <c r="B421" t="s">
        <v>72</v>
      </c>
      <c r="C421" t="s">
        <v>729</v>
      </c>
      <c r="D421" s="1">
        <v>99</v>
      </c>
      <c r="E421" s="1">
        <f t="shared" si="74"/>
        <v>82.5</v>
      </c>
      <c r="F421">
        <v>19.399999999999999</v>
      </c>
      <c r="G421" s="1">
        <v>86</v>
      </c>
      <c r="H421">
        <f t="shared" si="75"/>
        <v>-63.1</v>
      </c>
      <c r="I421">
        <f t="shared" si="76"/>
        <v>-3.7117647058823531</v>
      </c>
      <c r="J421">
        <f t="shared" si="77"/>
        <v>0</v>
      </c>
      <c r="K421">
        <f t="shared" si="78"/>
        <v>1.0909252297006058</v>
      </c>
      <c r="L421">
        <f t="shared" si="79"/>
        <v>0</v>
      </c>
      <c r="M421" s="4">
        <f t="shared" si="80"/>
        <v>0</v>
      </c>
      <c r="N421">
        <f t="shared" si="81"/>
        <v>0</v>
      </c>
      <c r="O421" cm="1">
        <f t="array" ref="O421:Q421">_xlfn.XLOOKUP(C421, X$2:X$7, AG$2:AI$7)</f>
        <v>55.4</v>
      </c>
      <c r="P421">
        <v>-0.253</v>
      </c>
      <c r="Q421">
        <v>0</v>
      </c>
      <c r="R421">
        <f t="shared" si="82"/>
        <v>2.2972130963791692E-8</v>
      </c>
      <c r="S421" s="4">
        <f t="shared" si="83"/>
        <v>1</v>
      </c>
      <c r="T421">
        <f t="shared" si="84"/>
        <v>-1</v>
      </c>
      <c r="U421">
        <f t="shared" si="85"/>
        <v>-1</v>
      </c>
    </row>
    <row r="422" spans="1:21">
      <c r="A422" t="s">
        <v>699</v>
      </c>
      <c r="B422" t="s">
        <v>72</v>
      </c>
      <c r="C422" t="s">
        <v>729</v>
      </c>
      <c r="D422" s="1">
        <v>99</v>
      </c>
      <c r="E422" s="1">
        <f t="shared" si="74"/>
        <v>82.5</v>
      </c>
      <c r="F422">
        <v>10.9</v>
      </c>
      <c r="G422" s="1">
        <v>114</v>
      </c>
      <c r="H422">
        <f t="shared" si="75"/>
        <v>-71.599999999999994</v>
      </c>
      <c r="I422">
        <f t="shared" si="76"/>
        <v>-4.2117647058823522</v>
      </c>
      <c r="J422">
        <f t="shared" si="77"/>
        <v>0</v>
      </c>
      <c r="K422">
        <f t="shared" si="78"/>
        <v>1.0909252297006058</v>
      </c>
      <c r="L422">
        <f t="shared" si="79"/>
        <v>0</v>
      </c>
      <c r="M422" s="4">
        <f t="shared" si="80"/>
        <v>0</v>
      </c>
      <c r="N422">
        <f t="shared" si="81"/>
        <v>0</v>
      </c>
      <c r="O422" cm="1">
        <f t="array" ref="O422:Q422">_xlfn.XLOOKUP(C422, X$2:X$7, AG$2:AI$7)</f>
        <v>55.4</v>
      </c>
      <c r="P422">
        <v>-0.253</v>
      </c>
      <c r="Q422">
        <v>0</v>
      </c>
      <c r="R422">
        <f t="shared" si="82"/>
        <v>1.9260128206855243E-11</v>
      </c>
      <c r="S422" s="4">
        <f t="shared" si="83"/>
        <v>1</v>
      </c>
      <c r="T422">
        <f t="shared" si="84"/>
        <v>-1</v>
      </c>
      <c r="U422">
        <f t="shared" si="85"/>
        <v>-1</v>
      </c>
    </row>
    <row r="423" spans="1:21">
      <c r="A423" t="s">
        <v>251</v>
      </c>
      <c r="B423" t="s">
        <v>72</v>
      </c>
      <c r="C423" t="s">
        <v>407</v>
      </c>
      <c r="D423" s="1">
        <v>116.9</v>
      </c>
      <c r="E423" s="1">
        <f t="shared" si="74"/>
        <v>93.4</v>
      </c>
      <c r="F423">
        <v>69.599999999999994</v>
      </c>
      <c r="G423" s="1">
        <v>92</v>
      </c>
      <c r="H423">
        <f t="shared" si="75"/>
        <v>-23.800000000000011</v>
      </c>
      <c r="I423">
        <f t="shared" si="76"/>
        <v>-1.4000000000000006</v>
      </c>
      <c r="J423">
        <f t="shared" si="77"/>
        <v>0</v>
      </c>
      <c r="K423">
        <f t="shared" si="78"/>
        <v>0.94226603101549489</v>
      </c>
      <c r="L423">
        <f t="shared" si="79"/>
        <v>0</v>
      </c>
      <c r="M423" s="4">
        <f t="shared" si="80"/>
        <v>0</v>
      </c>
      <c r="N423">
        <f t="shared" si="81"/>
        <v>0</v>
      </c>
      <c r="O423" cm="1">
        <f t="array" ref="O423:Q423">_xlfn.XLOOKUP(C423, X$2:X$7, AG$2:AI$7)</f>
        <v>57.8</v>
      </c>
      <c r="P423">
        <v>-6.4299999999999996E-2</v>
      </c>
      <c r="Q423">
        <v>0</v>
      </c>
      <c r="R423">
        <f t="shared" si="82"/>
        <v>0.18192243373524672</v>
      </c>
      <c r="S423" s="4">
        <f t="shared" si="83"/>
        <v>1</v>
      </c>
      <c r="T423">
        <f t="shared" si="84"/>
        <v>-1</v>
      </c>
      <c r="U423">
        <f t="shared" si="85"/>
        <v>-1</v>
      </c>
    </row>
    <row r="424" spans="1:21">
      <c r="A424" t="s">
        <v>274</v>
      </c>
      <c r="B424" t="s">
        <v>72</v>
      </c>
      <c r="C424" t="s">
        <v>407</v>
      </c>
      <c r="D424" s="1">
        <v>116.9</v>
      </c>
      <c r="E424" s="1">
        <f t="shared" si="74"/>
        <v>93.4</v>
      </c>
      <c r="F424">
        <v>44.4</v>
      </c>
      <c r="G424" s="1">
        <v>115</v>
      </c>
      <c r="H424">
        <f t="shared" si="75"/>
        <v>-49.000000000000007</v>
      </c>
      <c r="I424">
        <f t="shared" si="76"/>
        <v>-2.882352941176471</v>
      </c>
      <c r="J424">
        <f t="shared" si="77"/>
        <v>0</v>
      </c>
      <c r="K424">
        <f t="shared" si="78"/>
        <v>0.94226603101549489</v>
      </c>
      <c r="L424">
        <f t="shared" si="79"/>
        <v>0</v>
      </c>
      <c r="M424" s="4">
        <f t="shared" si="80"/>
        <v>0</v>
      </c>
      <c r="N424">
        <f t="shared" si="81"/>
        <v>0</v>
      </c>
      <c r="O424" cm="1">
        <f t="array" ref="O424:Q424">_xlfn.XLOOKUP(C424, X$2:X$7, AG$2:AI$7)</f>
        <v>57.8</v>
      </c>
      <c r="P424">
        <v>-6.4299999999999996E-2</v>
      </c>
      <c r="Q424">
        <v>0</v>
      </c>
      <c r="R424">
        <f t="shared" si="82"/>
        <v>4.1457980986850169E-2</v>
      </c>
      <c r="S424" s="4">
        <f t="shared" si="83"/>
        <v>1</v>
      </c>
      <c r="T424">
        <f t="shared" si="84"/>
        <v>-1</v>
      </c>
      <c r="U424">
        <f t="shared" si="85"/>
        <v>-1</v>
      </c>
    </row>
    <row r="425" spans="1:21">
      <c r="A425" t="s">
        <v>344</v>
      </c>
      <c r="B425" t="s">
        <v>72</v>
      </c>
      <c r="C425" t="s">
        <v>407</v>
      </c>
      <c r="D425" s="1">
        <v>116.9</v>
      </c>
      <c r="E425" s="1">
        <f t="shared" si="74"/>
        <v>93.4</v>
      </c>
      <c r="F425">
        <v>9.9</v>
      </c>
      <c r="G425" s="1">
        <v>185</v>
      </c>
      <c r="H425">
        <f t="shared" si="75"/>
        <v>-83.5</v>
      </c>
      <c r="I425">
        <f t="shared" si="76"/>
        <v>-4.9117647058823533</v>
      </c>
      <c r="J425">
        <f t="shared" si="77"/>
        <v>0</v>
      </c>
      <c r="K425">
        <f t="shared" si="78"/>
        <v>0.94226603101549489</v>
      </c>
      <c r="L425">
        <f t="shared" si="79"/>
        <v>0</v>
      </c>
      <c r="M425" s="4">
        <f t="shared" si="80"/>
        <v>0</v>
      </c>
      <c r="N425">
        <f t="shared" si="81"/>
        <v>0</v>
      </c>
      <c r="O425" cm="1">
        <f t="array" ref="O425:Q425">_xlfn.XLOOKUP(C425, X$2:X$7, AG$2:AI$7)</f>
        <v>57.8</v>
      </c>
      <c r="P425">
        <v>-6.4299999999999996E-2</v>
      </c>
      <c r="Q425">
        <v>0</v>
      </c>
      <c r="R425">
        <f t="shared" si="82"/>
        <v>4.6009624089971257E-4</v>
      </c>
      <c r="S425" s="4">
        <f t="shared" si="83"/>
        <v>1</v>
      </c>
      <c r="T425">
        <f t="shared" si="84"/>
        <v>-1</v>
      </c>
      <c r="U425">
        <f t="shared" si="85"/>
        <v>-1</v>
      </c>
    </row>
    <row r="426" spans="1:21">
      <c r="A426" t="s">
        <v>347</v>
      </c>
      <c r="B426" t="s">
        <v>72</v>
      </c>
      <c r="C426" t="s">
        <v>407</v>
      </c>
      <c r="D426" s="1">
        <v>116.9</v>
      </c>
      <c r="E426" s="1">
        <f t="shared" si="74"/>
        <v>93.4</v>
      </c>
      <c r="F426">
        <v>8.6</v>
      </c>
      <c r="G426" s="1">
        <v>188</v>
      </c>
      <c r="H426">
        <f t="shared" si="75"/>
        <v>-84.800000000000011</v>
      </c>
      <c r="I426">
        <f t="shared" si="76"/>
        <v>-4.988235294117648</v>
      </c>
      <c r="J426">
        <f t="shared" si="77"/>
        <v>0</v>
      </c>
      <c r="K426">
        <f t="shared" si="78"/>
        <v>0.94226603101549489</v>
      </c>
      <c r="L426">
        <f t="shared" si="79"/>
        <v>0</v>
      </c>
      <c r="M426" s="4">
        <f t="shared" si="80"/>
        <v>0</v>
      </c>
      <c r="N426">
        <f t="shared" si="81"/>
        <v>0</v>
      </c>
      <c r="O426" cm="1">
        <f t="array" ref="O426:Q426">_xlfn.XLOOKUP(C426, X$2:X$7, AG$2:AI$7)</f>
        <v>57.8</v>
      </c>
      <c r="P426">
        <v>-6.4299999999999996E-2</v>
      </c>
      <c r="Q426">
        <v>0</v>
      </c>
      <c r="R426">
        <f t="shared" si="82"/>
        <v>3.7937899299344467E-4</v>
      </c>
      <c r="S426" s="4">
        <f t="shared" si="83"/>
        <v>1</v>
      </c>
      <c r="T426">
        <f t="shared" si="84"/>
        <v>-1</v>
      </c>
      <c r="U426">
        <f t="shared" si="85"/>
        <v>-1</v>
      </c>
    </row>
    <row r="427" spans="1:21">
      <c r="A427" t="s">
        <v>355</v>
      </c>
      <c r="B427" t="s">
        <v>72</v>
      </c>
      <c r="C427" t="s">
        <v>407</v>
      </c>
      <c r="D427" s="1">
        <v>116.9</v>
      </c>
      <c r="E427" s="1">
        <f t="shared" si="74"/>
        <v>93.4</v>
      </c>
      <c r="F427">
        <v>8.1999999999999993</v>
      </c>
      <c r="G427" s="1">
        <v>196</v>
      </c>
      <c r="H427">
        <f t="shared" si="75"/>
        <v>-85.2</v>
      </c>
      <c r="I427">
        <f t="shared" si="76"/>
        <v>-5.0117647058823529</v>
      </c>
      <c r="J427">
        <f t="shared" si="77"/>
        <v>0</v>
      </c>
      <c r="K427">
        <f t="shared" si="78"/>
        <v>0.94226603101549489</v>
      </c>
      <c r="L427">
        <f t="shared" si="79"/>
        <v>0</v>
      </c>
      <c r="M427" s="4">
        <f t="shared" si="80"/>
        <v>0</v>
      </c>
      <c r="N427">
        <f t="shared" si="81"/>
        <v>0</v>
      </c>
      <c r="O427" cm="1">
        <f t="array" ref="O427:Q427">_xlfn.XLOOKUP(C427, X$2:X$7, AG$2:AI$7)</f>
        <v>57.8</v>
      </c>
      <c r="P427">
        <v>-6.4299999999999996E-2</v>
      </c>
      <c r="Q427">
        <v>0</v>
      </c>
      <c r="R427">
        <f t="shared" si="82"/>
        <v>2.2681522221400423E-4</v>
      </c>
      <c r="S427" s="4">
        <f t="shared" si="83"/>
        <v>1</v>
      </c>
      <c r="T427">
        <f t="shared" si="84"/>
        <v>-1</v>
      </c>
      <c r="U427">
        <f t="shared" si="85"/>
        <v>-1</v>
      </c>
    </row>
    <row r="428" spans="1:21">
      <c r="A428" t="s">
        <v>760</v>
      </c>
      <c r="B428" t="s">
        <v>78</v>
      </c>
      <c r="C428" t="s">
        <v>764</v>
      </c>
      <c r="D428" s="1">
        <v>124.7</v>
      </c>
      <c r="E428" s="1">
        <f t="shared" si="74"/>
        <v>118.7</v>
      </c>
      <c r="F428">
        <v>108.6</v>
      </c>
      <c r="G428" s="1">
        <v>31</v>
      </c>
      <c r="H428">
        <f t="shared" si="75"/>
        <v>-10.100000000000009</v>
      </c>
      <c r="I428">
        <f t="shared" si="76"/>
        <v>-0.59411764705882408</v>
      </c>
      <c r="J428">
        <f t="shared" si="77"/>
        <v>0</v>
      </c>
      <c r="K428">
        <f t="shared" si="78"/>
        <v>0.70591649737063444</v>
      </c>
      <c r="L428">
        <f t="shared" si="79"/>
        <v>0</v>
      </c>
      <c r="M428" s="4">
        <f t="shared" si="80"/>
        <v>0</v>
      </c>
      <c r="N428">
        <f t="shared" si="81"/>
        <v>0</v>
      </c>
      <c r="O428" cm="1">
        <f t="array" ref="O428:Q428">_xlfn.XLOOKUP(C428, X$2:X$7, AG$2:AI$7)</f>
        <v>3.22</v>
      </c>
      <c r="P428">
        <v>-0.14799999999999999</v>
      </c>
      <c r="Q428">
        <v>0</v>
      </c>
      <c r="R428">
        <f t="shared" si="82"/>
        <v>3.8228181982492941E-2</v>
      </c>
      <c r="S428" s="4">
        <f t="shared" si="83"/>
        <v>1</v>
      </c>
      <c r="T428">
        <f t="shared" si="84"/>
        <v>-1</v>
      </c>
      <c r="U428">
        <f t="shared" si="85"/>
        <v>-1</v>
      </c>
    </row>
    <row r="429" spans="1:21">
      <c r="A429" t="s">
        <v>123</v>
      </c>
      <c r="B429" t="s">
        <v>78</v>
      </c>
      <c r="C429" t="s">
        <v>159</v>
      </c>
      <c r="D429" s="1">
        <v>228</v>
      </c>
      <c r="E429" s="1">
        <f t="shared" si="74"/>
        <v>190</v>
      </c>
      <c r="F429">
        <v>21</v>
      </c>
      <c r="G429" s="1">
        <v>53</v>
      </c>
      <c r="H429">
        <f t="shared" si="75"/>
        <v>-169</v>
      </c>
      <c r="I429">
        <f t="shared" si="76"/>
        <v>-9.9411764705882355</v>
      </c>
      <c r="J429">
        <f t="shared" si="77"/>
        <v>0</v>
      </c>
      <c r="K429">
        <f t="shared" si="78"/>
        <v>0.57566309754037293</v>
      </c>
      <c r="L429">
        <f t="shared" si="79"/>
        <v>0</v>
      </c>
      <c r="M429" s="4">
        <f t="shared" si="80"/>
        <v>0</v>
      </c>
      <c r="N429">
        <f t="shared" si="81"/>
        <v>0</v>
      </c>
      <c r="O429" cm="1">
        <f t="array" ref="O429:Q429">_xlfn.XLOOKUP(C429, X$2:X$7, AG$2:AI$7)</f>
        <v>56.4</v>
      </c>
      <c r="P429">
        <v>-0.16300000000000001</v>
      </c>
      <c r="Q429">
        <v>0</v>
      </c>
      <c r="R429">
        <f t="shared" si="82"/>
        <v>1.1654131948147076E-2</v>
      </c>
      <c r="S429" s="4">
        <f t="shared" si="83"/>
        <v>1</v>
      </c>
      <c r="T429">
        <f t="shared" si="84"/>
        <v>-1</v>
      </c>
      <c r="U429">
        <f t="shared" si="85"/>
        <v>-1</v>
      </c>
    </row>
    <row r="430" spans="1:21">
      <c r="A430" t="s">
        <v>510</v>
      </c>
      <c r="B430" t="s">
        <v>78</v>
      </c>
      <c r="C430" t="s">
        <v>586</v>
      </c>
      <c r="D430" s="1">
        <v>107.9</v>
      </c>
      <c r="E430" s="1">
        <f t="shared" si="74"/>
        <v>73</v>
      </c>
      <c r="F430">
        <v>26.4</v>
      </c>
      <c r="G430" s="1">
        <v>103</v>
      </c>
      <c r="H430">
        <f t="shared" si="75"/>
        <v>-46.6</v>
      </c>
      <c r="I430">
        <f t="shared" si="76"/>
        <v>-2.7411764705882353</v>
      </c>
      <c r="J430">
        <f t="shared" si="77"/>
        <v>0</v>
      </c>
      <c r="K430">
        <f t="shared" si="78"/>
        <v>1.0011070456397422</v>
      </c>
      <c r="L430">
        <f t="shared" si="79"/>
        <v>0</v>
      </c>
      <c r="M430" s="4">
        <f t="shared" si="80"/>
        <v>0</v>
      </c>
      <c r="N430">
        <f t="shared" si="81"/>
        <v>0</v>
      </c>
      <c r="O430" cm="1">
        <f t="array" ref="O430:Q430">_xlfn.XLOOKUP(C430, X$2:X$7, AG$2:AI$7)</f>
        <v>5.0900000000000001E-2</v>
      </c>
      <c r="P430">
        <v>-3.9</v>
      </c>
      <c r="Q430">
        <v>73.900000000000006</v>
      </c>
      <c r="R430">
        <f t="shared" si="82"/>
        <v>247.63518270000006</v>
      </c>
      <c r="S430" s="4">
        <f t="shared" si="83"/>
        <v>1</v>
      </c>
      <c r="T430">
        <f t="shared" si="84"/>
        <v>-1</v>
      </c>
      <c r="U430">
        <f t="shared" si="85"/>
        <v>-1</v>
      </c>
    </row>
    <row r="431" spans="1:21">
      <c r="A431" t="s">
        <v>518</v>
      </c>
      <c r="B431" t="s">
        <v>78</v>
      </c>
      <c r="C431" t="s">
        <v>586</v>
      </c>
      <c r="D431" s="1">
        <v>107.9</v>
      </c>
      <c r="E431" s="1">
        <f t="shared" si="74"/>
        <v>73</v>
      </c>
      <c r="F431">
        <v>22.3</v>
      </c>
      <c r="G431" s="1">
        <v>112</v>
      </c>
      <c r="H431">
        <f t="shared" si="75"/>
        <v>-50.7</v>
      </c>
      <c r="I431">
        <f t="shared" si="76"/>
        <v>-2.9823529411764707</v>
      </c>
      <c r="J431">
        <f t="shared" si="77"/>
        <v>0</v>
      </c>
      <c r="K431">
        <f t="shared" si="78"/>
        <v>1.0011070456397422</v>
      </c>
      <c r="L431">
        <f t="shared" si="79"/>
        <v>0</v>
      </c>
      <c r="M431" s="4">
        <f t="shared" si="80"/>
        <v>0</v>
      </c>
      <c r="N431">
        <f t="shared" si="81"/>
        <v>0</v>
      </c>
      <c r="O431" cm="1">
        <f t="array" ref="O431:Q431">_xlfn.XLOOKUP(C431, X$2:X$7, AG$2:AI$7)</f>
        <v>5.0900000000000001E-2</v>
      </c>
      <c r="P431">
        <v>-3.9</v>
      </c>
      <c r="Q431">
        <v>73.900000000000006</v>
      </c>
      <c r="R431">
        <f t="shared" si="82"/>
        <v>321.61306320000006</v>
      </c>
      <c r="S431" s="4">
        <f t="shared" si="83"/>
        <v>1</v>
      </c>
      <c r="T431">
        <f t="shared" si="84"/>
        <v>-1</v>
      </c>
      <c r="U431">
        <f t="shared" si="85"/>
        <v>-1</v>
      </c>
    </row>
    <row r="432" spans="1:21">
      <c r="A432" t="s">
        <v>561</v>
      </c>
      <c r="B432" t="s">
        <v>78</v>
      </c>
      <c r="C432" t="s">
        <v>586</v>
      </c>
      <c r="D432" s="1">
        <v>107.9</v>
      </c>
      <c r="E432" s="1">
        <f t="shared" si="74"/>
        <v>73</v>
      </c>
      <c r="F432">
        <v>8.6999999999999993</v>
      </c>
      <c r="G432" s="1">
        <v>156</v>
      </c>
      <c r="H432">
        <f t="shared" si="75"/>
        <v>-64.3</v>
      </c>
      <c r="I432">
        <f t="shared" si="76"/>
        <v>-3.7823529411764705</v>
      </c>
      <c r="J432">
        <f t="shared" si="77"/>
        <v>0</v>
      </c>
      <c r="K432">
        <f t="shared" si="78"/>
        <v>1.0011070456397422</v>
      </c>
      <c r="L432">
        <f t="shared" si="79"/>
        <v>0</v>
      </c>
      <c r="M432" s="4">
        <f t="shared" si="80"/>
        <v>0</v>
      </c>
      <c r="N432">
        <f t="shared" si="81"/>
        <v>0</v>
      </c>
      <c r="O432" cm="1">
        <f t="array" ref="O432:Q432">_xlfn.XLOOKUP(C432, X$2:X$7, AG$2:AI$7)</f>
        <v>5.0900000000000001E-2</v>
      </c>
      <c r="P432">
        <v>-3.9</v>
      </c>
      <c r="Q432">
        <v>73.900000000000006</v>
      </c>
      <c r="R432">
        <f t="shared" si="82"/>
        <v>821.80420080000022</v>
      </c>
      <c r="S432" s="4">
        <f t="shared" si="83"/>
        <v>1</v>
      </c>
      <c r="T432">
        <f t="shared" si="84"/>
        <v>-1</v>
      </c>
      <c r="U432">
        <f t="shared" si="85"/>
        <v>-1</v>
      </c>
    </row>
    <row r="433" spans="1:21">
      <c r="A433" t="s">
        <v>567</v>
      </c>
      <c r="B433" t="s">
        <v>78</v>
      </c>
      <c r="C433" t="s">
        <v>586</v>
      </c>
      <c r="D433" s="1">
        <v>107.9</v>
      </c>
      <c r="E433" s="1">
        <f t="shared" si="74"/>
        <v>73</v>
      </c>
      <c r="F433">
        <v>6.8</v>
      </c>
      <c r="G433" s="1">
        <v>162</v>
      </c>
      <c r="H433">
        <f t="shared" si="75"/>
        <v>-66.2</v>
      </c>
      <c r="I433">
        <f t="shared" si="76"/>
        <v>-3.8941176470588239</v>
      </c>
      <c r="J433">
        <f t="shared" si="77"/>
        <v>0</v>
      </c>
      <c r="K433">
        <f t="shared" si="78"/>
        <v>1.0011070456397422</v>
      </c>
      <c r="L433">
        <f t="shared" si="79"/>
        <v>0</v>
      </c>
      <c r="M433" s="4">
        <f t="shared" si="80"/>
        <v>0</v>
      </c>
      <c r="N433">
        <f t="shared" si="81"/>
        <v>0</v>
      </c>
      <c r="O433" cm="1">
        <f t="array" ref="O433:Q433">_xlfn.XLOOKUP(C433, X$2:X$7, AG$2:AI$7)</f>
        <v>5.0900000000000001E-2</v>
      </c>
      <c r="P433">
        <v>-3.9</v>
      </c>
      <c r="Q433">
        <v>73.900000000000006</v>
      </c>
      <c r="R433">
        <f t="shared" si="82"/>
        <v>907.83217320000006</v>
      </c>
      <c r="S433" s="4">
        <f t="shared" si="83"/>
        <v>1</v>
      </c>
      <c r="T433">
        <f t="shared" si="84"/>
        <v>-1</v>
      </c>
      <c r="U433">
        <f t="shared" si="85"/>
        <v>-1</v>
      </c>
    </row>
    <row r="434" spans="1:21">
      <c r="A434" t="s">
        <v>576</v>
      </c>
      <c r="B434" t="s">
        <v>78</v>
      </c>
      <c r="C434" t="s">
        <v>586</v>
      </c>
      <c r="D434" s="1">
        <v>107.9</v>
      </c>
      <c r="E434" s="1">
        <f t="shared" si="74"/>
        <v>73</v>
      </c>
      <c r="F434">
        <v>2.2000000000000002</v>
      </c>
      <c r="G434" s="1">
        <v>171</v>
      </c>
      <c r="H434">
        <f t="shared" si="75"/>
        <v>-70.8</v>
      </c>
      <c r="I434">
        <f t="shared" si="76"/>
        <v>-4.1647058823529406</v>
      </c>
      <c r="J434">
        <f t="shared" si="77"/>
        <v>0</v>
      </c>
      <c r="K434">
        <f t="shared" si="78"/>
        <v>1.0011070456397422</v>
      </c>
      <c r="L434">
        <f t="shared" si="79"/>
        <v>0</v>
      </c>
      <c r="M434" s="4">
        <f t="shared" si="80"/>
        <v>0</v>
      </c>
      <c r="N434">
        <f t="shared" si="81"/>
        <v>0</v>
      </c>
      <c r="O434" cm="1">
        <f t="array" ref="O434:Q434">_xlfn.XLOOKUP(C434, X$2:X$7, AG$2:AI$7)</f>
        <v>5.0900000000000001E-2</v>
      </c>
      <c r="P434">
        <v>-3.9</v>
      </c>
      <c r="Q434">
        <v>73.900000000000006</v>
      </c>
      <c r="R434">
        <f t="shared" si="82"/>
        <v>1044.8931723000001</v>
      </c>
      <c r="S434" s="4">
        <f t="shared" si="83"/>
        <v>1</v>
      </c>
      <c r="T434">
        <f t="shared" si="84"/>
        <v>-1</v>
      </c>
      <c r="U434">
        <f t="shared" si="85"/>
        <v>-1</v>
      </c>
    </row>
    <row r="435" spans="1:21">
      <c r="A435" t="s">
        <v>619</v>
      </c>
      <c r="B435" t="s">
        <v>78</v>
      </c>
      <c r="C435" t="s">
        <v>729</v>
      </c>
      <c r="D435" s="1">
        <v>99</v>
      </c>
      <c r="E435" s="1">
        <f t="shared" si="74"/>
        <v>82.5</v>
      </c>
      <c r="F435">
        <v>71.599999999999994</v>
      </c>
      <c r="G435" s="1">
        <v>33</v>
      </c>
      <c r="H435">
        <f t="shared" si="75"/>
        <v>-10.900000000000006</v>
      </c>
      <c r="I435">
        <f t="shared" si="76"/>
        <v>-0.64117647058823568</v>
      </c>
      <c r="J435">
        <f t="shared" si="77"/>
        <v>0</v>
      </c>
      <c r="K435">
        <f t="shared" si="78"/>
        <v>1.0909252297006058</v>
      </c>
      <c r="L435">
        <f t="shared" si="79"/>
        <v>0</v>
      </c>
      <c r="M435" s="4">
        <f t="shared" si="80"/>
        <v>0</v>
      </c>
      <c r="N435">
        <f t="shared" si="81"/>
        <v>0</v>
      </c>
      <c r="O435" cm="1">
        <f t="array" ref="O435:Q435">_xlfn.XLOOKUP(C435, X$2:X$7, AG$2:AI$7)</f>
        <v>55.4</v>
      </c>
      <c r="P435">
        <v>-0.253</v>
      </c>
      <c r="Q435">
        <v>0</v>
      </c>
      <c r="R435">
        <f t="shared" si="82"/>
        <v>1.5298751534853026E-2</v>
      </c>
      <c r="S435" s="4">
        <f t="shared" si="83"/>
        <v>1</v>
      </c>
      <c r="T435">
        <f t="shared" si="84"/>
        <v>-1</v>
      </c>
      <c r="U435">
        <f t="shared" si="85"/>
        <v>-1</v>
      </c>
    </row>
    <row r="436" spans="1:21">
      <c r="A436" t="s">
        <v>637</v>
      </c>
      <c r="B436" t="s">
        <v>78</v>
      </c>
      <c r="C436" t="s">
        <v>729</v>
      </c>
      <c r="D436" s="1">
        <v>99</v>
      </c>
      <c r="E436" s="1">
        <f t="shared" si="74"/>
        <v>82.5</v>
      </c>
      <c r="F436">
        <v>33.200000000000003</v>
      </c>
      <c r="G436" s="1">
        <v>51</v>
      </c>
      <c r="H436">
        <f t="shared" si="75"/>
        <v>-49.3</v>
      </c>
      <c r="I436">
        <f t="shared" si="76"/>
        <v>-2.9</v>
      </c>
      <c r="J436">
        <f t="shared" si="77"/>
        <v>0</v>
      </c>
      <c r="K436">
        <f t="shared" si="78"/>
        <v>1.0909252297006058</v>
      </c>
      <c r="L436">
        <f t="shared" si="79"/>
        <v>0</v>
      </c>
      <c r="M436" s="4">
        <f t="shared" si="80"/>
        <v>0</v>
      </c>
      <c r="N436">
        <f t="shared" si="81"/>
        <v>0</v>
      </c>
      <c r="O436" cm="1">
        <f t="array" ref="O436:Q436">_xlfn.XLOOKUP(C436, X$2:X$7, AG$2:AI$7)</f>
        <v>55.4</v>
      </c>
      <c r="P436">
        <v>-0.253</v>
      </c>
      <c r="Q436">
        <v>0</v>
      </c>
      <c r="R436">
        <f t="shared" si="82"/>
        <v>1.6101966574699536E-4</v>
      </c>
      <c r="S436" s="4">
        <f t="shared" si="83"/>
        <v>1</v>
      </c>
      <c r="T436">
        <f t="shared" si="84"/>
        <v>-1</v>
      </c>
      <c r="U436">
        <f t="shared" si="85"/>
        <v>-1</v>
      </c>
    </row>
    <row r="437" spans="1:21">
      <c r="A437" t="s">
        <v>642</v>
      </c>
      <c r="B437" t="s">
        <v>78</v>
      </c>
      <c r="C437" t="s">
        <v>729</v>
      </c>
      <c r="D437" s="1">
        <v>99</v>
      </c>
      <c r="E437" s="1">
        <f t="shared" si="74"/>
        <v>82.5</v>
      </c>
      <c r="F437">
        <v>30.1</v>
      </c>
      <c r="G437" s="1">
        <v>56</v>
      </c>
      <c r="H437">
        <f t="shared" si="75"/>
        <v>-52.4</v>
      </c>
      <c r="I437">
        <f t="shared" si="76"/>
        <v>-3.0823529411764703</v>
      </c>
      <c r="J437">
        <f t="shared" si="77"/>
        <v>0</v>
      </c>
      <c r="K437">
        <f t="shared" si="78"/>
        <v>1.0909252297006058</v>
      </c>
      <c r="L437">
        <f t="shared" si="79"/>
        <v>0</v>
      </c>
      <c r="M437" s="4">
        <f t="shared" si="80"/>
        <v>0</v>
      </c>
      <c r="N437">
        <f t="shared" si="81"/>
        <v>0</v>
      </c>
      <c r="O437" cm="1">
        <f t="array" ref="O437:Q437">_xlfn.XLOOKUP(C437, X$2:X$7, AG$2:AI$7)</f>
        <v>55.4</v>
      </c>
      <c r="P437">
        <v>-0.253</v>
      </c>
      <c r="Q437">
        <v>0</v>
      </c>
      <c r="R437">
        <f t="shared" si="82"/>
        <v>4.5446077125214362E-5</v>
      </c>
      <c r="S437" s="4">
        <f t="shared" si="83"/>
        <v>1</v>
      </c>
      <c r="T437">
        <f t="shared" si="84"/>
        <v>-1</v>
      </c>
      <c r="U437">
        <f t="shared" si="85"/>
        <v>-1</v>
      </c>
    </row>
    <row r="438" spans="1:21">
      <c r="A438" t="s">
        <v>720</v>
      </c>
      <c r="B438" t="s">
        <v>78</v>
      </c>
      <c r="C438" t="s">
        <v>729</v>
      </c>
      <c r="D438" s="1">
        <v>99</v>
      </c>
      <c r="E438" s="1">
        <f t="shared" si="74"/>
        <v>82.5</v>
      </c>
      <c r="F438">
        <v>5</v>
      </c>
      <c r="G438" s="1">
        <v>136</v>
      </c>
      <c r="H438">
        <f t="shared" si="75"/>
        <v>-77.5</v>
      </c>
      <c r="I438">
        <f t="shared" si="76"/>
        <v>-4.5588235294117645</v>
      </c>
      <c r="J438">
        <f t="shared" si="77"/>
        <v>0</v>
      </c>
      <c r="K438">
        <f t="shared" si="78"/>
        <v>1.0909252297006058</v>
      </c>
      <c r="L438">
        <f t="shared" si="79"/>
        <v>0</v>
      </c>
      <c r="M438" s="4">
        <f t="shared" si="80"/>
        <v>0</v>
      </c>
      <c r="N438">
        <f t="shared" si="81"/>
        <v>0</v>
      </c>
      <c r="O438" cm="1">
        <f t="array" ref="O438:Q438">_xlfn.XLOOKUP(C438, X$2:X$7, AG$2:AI$7)</f>
        <v>55.4</v>
      </c>
      <c r="P438">
        <v>-0.253</v>
      </c>
      <c r="Q438">
        <v>0</v>
      </c>
      <c r="R438">
        <f t="shared" si="82"/>
        <v>7.3684490934428494E-14</v>
      </c>
      <c r="S438" s="4">
        <f t="shared" si="83"/>
        <v>1</v>
      </c>
      <c r="T438">
        <f t="shared" si="84"/>
        <v>-1</v>
      </c>
      <c r="U438">
        <f t="shared" si="85"/>
        <v>-1</v>
      </c>
    </row>
    <row r="439" spans="1:21">
      <c r="A439" t="s">
        <v>290</v>
      </c>
      <c r="B439" t="s">
        <v>78</v>
      </c>
      <c r="C439" t="s">
        <v>407</v>
      </c>
      <c r="D439" s="1">
        <v>116.9</v>
      </c>
      <c r="E439" s="1">
        <f t="shared" si="74"/>
        <v>93.4</v>
      </c>
      <c r="F439">
        <v>31.5</v>
      </c>
      <c r="G439" s="1">
        <v>131</v>
      </c>
      <c r="H439">
        <f t="shared" si="75"/>
        <v>-61.900000000000006</v>
      </c>
      <c r="I439">
        <f t="shared" si="76"/>
        <v>-3.6411764705882357</v>
      </c>
      <c r="J439">
        <f t="shared" si="77"/>
        <v>0</v>
      </c>
      <c r="K439">
        <f t="shared" si="78"/>
        <v>0.94226603101549489</v>
      </c>
      <c r="L439">
        <f t="shared" si="79"/>
        <v>0</v>
      </c>
      <c r="M439" s="4">
        <f t="shared" si="80"/>
        <v>0</v>
      </c>
      <c r="N439">
        <f t="shared" si="81"/>
        <v>0</v>
      </c>
      <c r="O439" cm="1">
        <f t="array" ref="O439:Q439">_xlfn.XLOOKUP(C439, X$2:X$7, AG$2:AI$7)</f>
        <v>57.8</v>
      </c>
      <c r="P439">
        <v>-6.4299999999999996E-2</v>
      </c>
      <c r="Q439">
        <v>0</v>
      </c>
      <c r="R439">
        <f t="shared" si="82"/>
        <v>1.4818559389620137E-2</v>
      </c>
      <c r="S439" s="4">
        <f t="shared" si="83"/>
        <v>1</v>
      </c>
      <c r="T439">
        <f t="shared" si="84"/>
        <v>-1</v>
      </c>
      <c r="U439">
        <f t="shared" si="85"/>
        <v>-1</v>
      </c>
    </row>
    <row r="440" spans="1:21">
      <c r="A440" t="s">
        <v>301</v>
      </c>
      <c r="B440" t="s">
        <v>78</v>
      </c>
      <c r="C440" t="s">
        <v>407</v>
      </c>
      <c r="D440" s="1">
        <v>116.9</v>
      </c>
      <c r="E440" s="1">
        <f t="shared" si="74"/>
        <v>93.4</v>
      </c>
      <c r="F440">
        <v>26.6</v>
      </c>
      <c r="G440" s="1">
        <v>142</v>
      </c>
      <c r="H440">
        <f t="shared" si="75"/>
        <v>-66.800000000000011</v>
      </c>
      <c r="I440">
        <f t="shared" si="76"/>
        <v>-3.929411764705883</v>
      </c>
      <c r="J440">
        <f t="shared" si="77"/>
        <v>0</v>
      </c>
      <c r="K440">
        <f t="shared" si="78"/>
        <v>0.94226603101549489</v>
      </c>
      <c r="L440">
        <f t="shared" si="79"/>
        <v>0</v>
      </c>
      <c r="M440" s="4">
        <f t="shared" si="80"/>
        <v>0</v>
      </c>
      <c r="N440">
        <f t="shared" si="81"/>
        <v>0</v>
      </c>
      <c r="O440" cm="1">
        <f t="array" ref="O440:Q440">_xlfn.XLOOKUP(C440, X$2:X$7, AG$2:AI$7)</f>
        <v>57.8</v>
      </c>
      <c r="P440">
        <v>-6.4299999999999996E-2</v>
      </c>
      <c r="Q440">
        <v>0</v>
      </c>
      <c r="R440">
        <f t="shared" si="82"/>
        <v>7.3051560566449528E-3</v>
      </c>
      <c r="S440" s="4">
        <f t="shared" si="83"/>
        <v>1</v>
      </c>
      <c r="T440">
        <f t="shared" si="84"/>
        <v>-1</v>
      </c>
      <c r="U440">
        <f t="shared" si="85"/>
        <v>-1</v>
      </c>
    </row>
    <row r="441" spans="1:21">
      <c r="A441" t="s">
        <v>354</v>
      </c>
      <c r="B441" t="s">
        <v>78</v>
      </c>
      <c r="C441" t="s">
        <v>407</v>
      </c>
      <c r="D441" s="1">
        <v>116.9</v>
      </c>
      <c r="E441" s="1">
        <f t="shared" si="74"/>
        <v>93.4</v>
      </c>
      <c r="F441">
        <v>8.3000000000000007</v>
      </c>
      <c r="G441" s="1">
        <v>195</v>
      </c>
      <c r="H441">
        <f t="shared" si="75"/>
        <v>-85.100000000000009</v>
      </c>
      <c r="I441">
        <f t="shared" si="76"/>
        <v>-5.0058823529411773</v>
      </c>
      <c r="J441">
        <f t="shared" si="77"/>
        <v>0</v>
      </c>
      <c r="K441">
        <f t="shared" si="78"/>
        <v>0.94226603101549489</v>
      </c>
      <c r="L441">
        <f t="shared" si="79"/>
        <v>0</v>
      </c>
      <c r="M441" s="4">
        <f t="shared" si="80"/>
        <v>0</v>
      </c>
      <c r="N441">
        <f t="shared" si="81"/>
        <v>0</v>
      </c>
      <c r="O441" cm="1">
        <f t="array" ref="O441:Q441">_xlfn.XLOOKUP(C441, X$2:X$7, AG$2:AI$7)</f>
        <v>57.8</v>
      </c>
      <c r="P441">
        <v>-6.4299999999999996E-2</v>
      </c>
      <c r="Q441">
        <v>0</v>
      </c>
      <c r="R441">
        <f t="shared" si="82"/>
        <v>2.418785370034067E-4</v>
      </c>
      <c r="S441" s="4">
        <f t="shared" si="83"/>
        <v>1</v>
      </c>
      <c r="T441">
        <f t="shared" si="84"/>
        <v>-1</v>
      </c>
      <c r="U441">
        <f t="shared" si="85"/>
        <v>-1</v>
      </c>
    </row>
    <row r="442" spans="1:21">
      <c r="A442" t="s">
        <v>364</v>
      </c>
      <c r="B442" t="s">
        <v>78</v>
      </c>
      <c r="C442" t="s">
        <v>407</v>
      </c>
      <c r="D442" s="1">
        <v>116.9</v>
      </c>
      <c r="E442" s="1">
        <f t="shared" si="74"/>
        <v>93.4</v>
      </c>
      <c r="F442">
        <v>7.9</v>
      </c>
      <c r="G442" s="1">
        <v>205</v>
      </c>
      <c r="H442">
        <f t="shared" si="75"/>
        <v>-85.5</v>
      </c>
      <c r="I442">
        <f t="shared" si="76"/>
        <v>-5.0294117647058822</v>
      </c>
      <c r="J442">
        <f t="shared" si="77"/>
        <v>0</v>
      </c>
      <c r="K442">
        <f t="shared" si="78"/>
        <v>0.94226603101549489</v>
      </c>
      <c r="L442">
        <f t="shared" si="79"/>
        <v>0</v>
      </c>
      <c r="M442" s="4">
        <f t="shared" si="80"/>
        <v>0</v>
      </c>
      <c r="N442">
        <f t="shared" si="81"/>
        <v>0</v>
      </c>
      <c r="O442" cm="1">
        <f t="array" ref="O442:Q442">_xlfn.XLOOKUP(C442, X$2:X$7, AG$2:AI$7)</f>
        <v>57.8</v>
      </c>
      <c r="P442">
        <v>-6.4299999999999996E-2</v>
      </c>
      <c r="Q442">
        <v>0</v>
      </c>
      <c r="R442">
        <f t="shared" si="82"/>
        <v>1.2715867129994832E-4</v>
      </c>
      <c r="S442" s="4">
        <f t="shared" si="83"/>
        <v>1</v>
      </c>
      <c r="T442">
        <f t="shared" si="84"/>
        <v>-1</v>
      </c>
      <c r="U442">
        <f t="shared" si="85"/>
        <v>-1</v>
      </c>
    </row>
    <row r="443" spans="1:21">
      <c r="A443" t="s">
        <v>755</v>
      </c>
      <c r="B443" t="s">
        <v>92</v>
      </c>
      <c r="C443" t="s">
        <v>764</v>
      </c>
      <c r="D443" s="1">
        <v>124.7</v>
      </c>
      <c r="E443" s="1">
        <f t="shared" si="74"/>
        <v>118.7</v>
      </c>
      <c r="F443">
        <v>112.9</v>
      </c>
      <c r="G443" s="1">
        <v>26</v>
      </c>
      <c r="H443">
        <f t="shared" si="75"/>
        <v>-5.7999999999999972</v>
      </c>
      <c r="I443">
        <f t="shared" si="76"/>
        <v>-0.34117647058823514</v>
      </c>
      <c r="J443">
        <f t="shared" si="77"/>
        <v>0</v>
      </c>
      <c r="K443">
        <f t="shared" si="78"/>
        <v>0.70591649737063444</v>
      </c>
      <c r="L443">
        <f t="shared" si="79"/>
        <v>0</v>
      </c>
      <c r="M443" s="4">
        <f t="shared" si="80"/>
        <v>0</v>
      </c>
      <c r="N443">
        <f t="shared" si="81"/>
        <v>0</v>
      </c>
      <c r="O443" cm="1">
        <f t="array" ref="O443:Q443">_xlfn.XLOOKUP(C443, X$2:X$7, AG$2:AI$7)</f>
        <v>3.22</v>
      </c>
      <c r="P443">
        <v>-0.14799999999999999</v>
      </c>
      <c r="Q443">
        <v>0</v>
      </c>
      <c r="R443">
        <f t="shared" si="82"/>
        <v>8.0123804271660576E-2</v>
      </c>
      <c r="S443" s="4">
        <f t="shared" si="83"/>
        <v>1</v>
      </c>
      <c r="T443">
        <f t="shared" si="84"/>
        <v>-1</v>
      </c>
      <c r="U443">
        <f t="shared" si="85"/>
        <v>-1</v>
      </c>
    </row>
    <row r="444" spans="1:21">
      <c r="A444" t="s">
        <v>116</v>
      </c>
      <c r="B444" t="s">
        <v>92</v>
      </c>
      <c r="C444" t="s">
        <v>159</v>
      </c>
      <c r="D444" s="1">
        <v>228</v>
      </c>
      <c r="E444" s="1">
        <f t="shared" si="74"/>
        <v>190</v>
      </c>
      <c r="F444">
        <v>26.4</v>
      </c>
      <c r="G444" s="1">
        <v>46</v>
      </c>
      <c r="H444">
        <f t="shared" si="75"/>
        <v>-163.6</v>
      </c>
      <c r="I444">
        <f t="shared" si="76"/>
        <v>-9.6235294117647054</v>
      </c>
      <c r="J444">
        <f t="shared" si="77"/>
        <v>0</v>
      </c>
      <c r="K444">
        <f t="shared" si="78"/>
        <v>0.57566309754037293</v>
      </c>
      <c r="L444">
        <f t="shared" si="79"/>
        <v>0</v>
      </c>
      <c r="M444" s="4">
        <f t="shared" si="80"/>
        <v>0</v>
      </c>
      <c r="N444">
        <f t="shared" si="81"/>
        <v>0</v>
      </c>
      <c r="O444" cm="1">
        <f t="array" ref="O444:Q444">_xlfn.XLOOKUP(C444, X$2:X$7, AG$2:AI$7)</f>
        <v>56.4</v>
      </c>
      <c r="P444">
        <v>-0.16300000000000001</v>
      </c>
      <c r="Q444">
        <v>0</v>
      </c>
      <c r="R444">
        <f t="shared" si="82"/>
        <v>3.6476229096231154E-2</v>
      </c>
      <c r="S444" s="4">
        <f t="shared" si="83"/>
        <v>1</v>
      </c>
      <c r="T444">
        <f t="shared" si="84"/>
        <v>-1</v>
      </c>
      <c r="U444">
        <f t="shared" si="85"/>
        <v>-1</v>
      </c>
    </row>
    <row r="445" spans="1:21">
      <c r="A445" t="s">
        <v>150</v>
      </c>
      <c r="B445" t="s">
        <v>92</v>
      </c>
      <c r="C445" t="s">
        <v>159</v>
      </c>
      <c r="D445" s="1">
        <v>228</v>
      </c>
      <c r="E445" s="1">
        <f t="shared" si="74"/>
        <v>190</v>
      </c>
      <c r="F445">
        <v>7.3</v>
      </c>
      <c r="G445" s="1">
        <v>80</v>
      </c>
      <c r="H445">
        <f t="shared" si="75"/>
        <v>-182.7</v>
      </c>
      <c r="I445">
        <f t="shared" si="76"/>
        <v>-10.747058823529411</v>
      </c>
      <c r="J445">
        <f t="shared" si="77"/>
        <v>0</v>
      </c>
      <c r="K445">
        <f t="shared" si="78"/>
        <v>0.57566309754037293</v>
      </c>
      <c r="L445">
        <f t="shared" si="79"/>
        <v>0</v>
      </c>
      <c r="M445" s="4">
        <f t="shared" si="80"/>
        <v>0</v>
      </c>
      <c r="N445">
        <f t="shared" si="81"/>
        <v>0</v>
      </c>
      <c r="O445" cm="1">
        <f t="array" ref="O445:Q445">_xlfn.XLOOKUP(C445, X$2:X$7, AG$2:AI$7)</f>
        <v>56.4</v>
      </c>
      <c r="P445">
        <v>-0.16300000000000001</v>
      </c>
      <c r="Q445">
        <v>0</v>
      </c>
      <c r="R445">
        <f t="shared" si="82"/>
        <v>1.4293872898043687E-4</v>
      </c>
      <c r="S445" s="4">
        <f t="shared" si="83"/>
        <v>1</v>
      </c>
      <c r="T445">
        <f t="shared" si="84"/>
        <v>-1</v>
      </c>
      <c r="U445">
        <f t="shared" si="85"/>
        <v>-1</v>
      </c>
    </row>
    <row r="446" spans="1:21">
      <c r="A446" t="s">
        <v>519</v>
      </c>
      <c r="B446" t="s">
        <v>92</v>
      </c>
      <c r="C446" t="s">
        <v>586</v>
      </c>
      <c r="D446" s="1">
        <v>107.9</v>
      </c>
      <c r="E446" s="1">
        <f t="shared" si="74"/>
        <v>73</v>
      </c>
      <c r="F446">
        <v>22.3</v>
      </c>
      <c r="G446" s="1">
        <v>113</v>
      </c>
      <c r="H446">
        <f t="shared" si="75"/>
        <v>-50.7</v>
      </c>
      <c r="I446">
        <f t="shared" si="76"/>
        <v>-2.9823529411764707</v>
      </c>
      <c r="J446">
        <f t="shared" si="77"/>
        <v>0</v>
      </c>
      <c r="K446">
        <f t="shared" si="78"/>
        <v>1.0011070456397422</v>
      </c>
      <c r="L446">
        <f t="shared" si="79"/>
        <v>0</v>
      </c>
      <c r="M446" s="4">
        <f t="shared" si="80"/>
        <v>0</v>
      </c>
      <c r="N446">
        <f t="shared" si="81"/>
        <v>0</v>
      </c>
      <c r="O446" cm="1">
        <f t="array" ref="O446:Q446">_xlfn.XLOOKUP(C446, X$2:X$7, AG$2:AI$7)</f>
        <v>5.0900000000000001E-2</v>
      </c>
      <c r="P446">
        <v>-3.9</v>
      </c>
      <c r="Q446">
        <v>73.900000000000006</v>
      </c>
      <c r="R446">
        <f t="shared" si="82"/>
        <v>330.42683070000004</v>
      </c>
      <c r="S446" s="4">
        <f t="shared" si="83"/>
        <v>1</v>
      </c>
      <c r="T446">
        <f t="shared" si="84"/>
        <v>-1</v>
      </c>
      <c r="U446">
        <f t="shared" si="85"/>
        <v>-1</v>
      </c>
    </row>
    <row r="447" spans="1:21">
      <c r="A447" t="s">
        <v>540</v>
      </c>
      <c r="B447" t="s">
        <v>92</v>
      </c>
      <c r="C447" t="s">
        <v>586</v>
      </c>
      <c r="D447" s="1">
        <v>107.9</v>
      </c>
      <c r="E447" s="1">
        <f t="shared" si="74"/>
        <v>73</v>
      </c>
      <c r="F447">
        <v>14</v>
      </c>
      <c r="G447" s="1">
        <v>135</v>
      </c>
      <c r="H447">
        <f t="shared" si="75"/>
        <v>-59</v>
      </c>
      <c r="I447">
        <f t="shared" si="76"/>
        <v>-3.4705882352941178</v>
      </c>
      <c r="J447">
        <f t="shared" si="77"/>
        <v>0</v>
      </c>
      <c r="K447">
        <f t="shared" si="78"/>
        <v>1.0011070456397422</v>
      </c>
      <c r="L447">
        <f t="shared" si="79"/>
        <v>0</v>
      </c>
      <c r="M447" s="4">
        <f t="shared" si="80"/>
        <v>0</v>
      </c>
      <c r="N447">
        <f t="shared" si="81"/>
        <v>0</v>
      </c>
      <c r="O447" cm="1">
        <f t="array" ref="O447:Q447">_xlfn.XLOOKUP(C447, X$2:X$7, AG$2:AI$7)</f>
        <v>5.0900000000000001E-2</v>
      </c>
      <c r="P447">
        <v>-3.9</v>
      </c>
      <c r="Q447">
        <v>73.900000000000006</v>
      </c>
      <c r="R447">
        <f t="shared" si="82"/>
        <v>554.38626750000003</v>
      </c>
      <c r="S447" s="4">
        <f t="shared" si="83"/>
        <v>1</v>
      </c>
      <c r="T447">
        <f t="shared" si="84"/>
        <v>-1</v>
      </c>
      <c r="U447">
        <f t="shared" si="85"/>
        <v>-1</v>
      </c>
    </row>
    <row r="448" spans="1:21">
      <c r="A448" t="s">
        <v>560</v>
      </c>
      <c r="B448" t="s">
        <v>92</v>
      </c>
      <c r="C448" t="s">
        <v>586</v>
      </c>
      <c r="D448" s="1">
        <v>107.9</v>
      </c>
      <c r="E448" s="1">
        <f t="shared" si="74"/>
        <v>73</v>
      </c>
      <c r="F448">
        <v>8.6999999999999993</v>
      </c>
      <c r="G448" s="1">
        <v>155</v>
      </c>
      <c r="H448">
        <f t="shared" si="75"/>
        <v>-64.3</v>
      </c>
      <c r="I448">
        <f t="shared" si="76"/>
        <v>-3.7823529411764705</v>
      </c>
      <c r="J448">
        <f t="shared" si="77"/>
        <v>0</v>
      </c>
      <c r="K448">
        <f t="shared" si="78"/>
        <v>1.0011070456397422</v>
      </c>
      <c r="L448">
        <f t="shared" si="79"/>
        <v>0</v>
      </c>
      <c r="M448" s="4">
        <f t="shared" si="80"/>
        <v>0</v>
      </c>
      <c r="N448">
        <f t="shared" si="81"/>
        <v>0</v>
      </c>
      <c r="O448" cm="1">
        <f t="array" ref="O448:Q448">_xlfn.XLOOKUP(C448, X$2:X$7, AG$2:AI$7)</f>
        <v>5.0900000000000001E-2</v>
      </c>
      <c r="P448">
        <v>-3.9</v>
      </c>
      <c r="Q448">
        <v>73.900000000000006</v>
      </c>
      <c r="R448">
        <f t="shared" si="82"/>
        <v>807.88200749999999</v>
      </c>
      <c r="S448" s="4">
        <f t="shared" si="83"/>
        <v>1</v>
      </c>
      <c r="T448">
        <f t="shared" si="84"/>
        <v>-1</v>
      </c>
      <c r="U448">
        <f t="shared" si="85"/>
        <v>-1</v>
      </c>
    </row>
    <row r="449" spans="1:21">
      <c r="A449" t="s">
        <v>562</v>
      </c>
      <c r="B449" t="s">
        <v>92</v>
      </c>
      <c r="C449" t="s">
        <v>586</v>
      </c>
      <c r="D449" s="1">
        <v>107.9</v>
      </c>
      <c r="E449" s="1">
        <f t="shared" si="74"/>
        <v>73</v>
      </c>
      <c r="F449">
        <v>8.3000000000000007</v>
      </c>
      <c r="G449" s="1">
        <v>157</v>
      </c>
      <c r="H449">
        <f t="shared" si="75"/>
        <v>-64.7</v>
      </c>
      <c r="I449">
        <f t="shared" si="76"/>
        <v>-3.8058823529411767</v>
      </c>
      <c r="J449">
        <f t="shared" si="77"/>
        <v>0</v>
      </c>
      <c r="K449">
        <f t="shared" si="78"/>
        <v>1.0011070456397422</v>
      </c>
      <c r="L449">
        <f t="shared" si="79"/>
        <v>0</v>
      </c>
      <c r="M449" s="4">
        <f t="shared" si="80"/>
        <v>0</v>
      </c>
      <c r="N449">
        <f t="shared" si="81"/>
        <v>0</v>
      </c>
      <c r="O449" cm="1">
        <f t="array" ref="O449:Q449">_xlfn.XLOOKUP(C449, X$2:X$7, AG$2:AI$7)</f>
        <v>5.0900000000000001E-2</v>
      </c>
      <c r="P449">
        <v>-3.9</v>
      </c>
      <c r="Q449">
        <v>73.900000000000006</v>
      </c>
      <c r="R449">
        <f t="shared" si="82"/>
        <v>835.84519470000009</v>
      </c>
      <c r="S449" s="4">
        <f t="shared" si="83"/>
        <v>1</v>
      </c>
      <c r="T449">
        <f t="shared" si="84"/>
        <v>-1</v>
      </c>
      <c r="U449">
        <f t="shared" si="85"/>
        <v>-1</v>
      </c>
    </row>
    <row r="450" spans="1:21">
      <c r="A450" t="s">
        <v>640</v>
      </c>
      <c r="B450" t="s">
        <v>92</v>
      </c>
      <c r="C450" t="s">
        <v>729</v>
      </c>
      <c r="D450" s="1">
        <v>99</v>
      </c>
      <c r="E450" s="1">
        <f t="shared" ref="E450:E513" si="86">IF(C450=X$2, AE$2, IF(C450 = X$3, AE$3, IF(C450 = X$4, AE$4, IF(C450 = X$5, AE$5, IF(C450=X$6, AE$6, IF(C450=X$7, AE$7, ""))))))</f>
        <v>82.5</v>
      </c>
      <c r="F450">
        <v>31.6</v>
      </c>
      <c r="G450" s="1">
        <v>54</v>
      </c>
      <c r="H450">
        <f t="shared" ref="H450:H513" si="87">F450-E450</f>
        <v>-50.9</v>
      </c>
      <c r="I450">
        <f t="shared" ref="I450:I513" si="88">H450/17</f>
        <v>-2.9941176470588236</v>
      </c>
      <c r="J450">
        <f t="shared" ref="J450:J513" si="89">IF(1+I450/AK$2&lt;0, 0,(1+I450/AK$2))</f>
        <v>0</v>
      </c>
      <c r="K450">
        <f t="shared" ref="K450:K513" si="90">IF(C450=X$2, AB$2, IF(C450 = X$3, AB$3, IF(C450 = X$4, AB$4, IF(C450 = X$5, AB$5, IF(C450=X$6, AB$6, IF(C450=X$7, AB$7, ""))))))</f>
        <v>1.0909252297006058</v>
      </c>
      <c r="L450">
        <f t="shared" ref="L450:L513" si="91">M450/AN$21*AN$12</f>
        <v>0</v>
      </c>
      <c r="M450" s="4">
        <f t="shared" ref="M450:M513" si="92">J450*K450</f>
        <v>0</v>
      </c>
      <c r="N450">
        <f t="shared" ref="N450:N513" si="93">M450*1.25</f>
        <v>0</v>
      </c>
      <c r="O450" cm="1">
        <f t="array" ref="O450:Q450">_xlfn.XLOOKUP(C450, X$2:X$7, AG$2:AI$7)</f>
        <v>55.4</v>
      </c>
      <c r="P450">
        <v>-0.253</v>
      </c>
      <c r="Q450">
        <v>0</v>
      </c>
      <c r="R450">
        <f t="shared" ref="R450:R513" si="94">IF(Q450=0,1.167*O450*EXP(P450*G450),1.167*(O450*G450^2+P450*G450+Q450))</f>
        <v>7.5378832914284983E-5</v>
      </c>
      <c r="S450" s="4">
        <f t="shared" ref="S450:S513" si="95">IF(OR(H450&lt;0, R450&lt;1), 1, R450)</f>
        <v>1</v>
      </c>
      <c r="T450">
        <f t="shared" ref="T450:T513" si="96">M450-S450</f>
        <v>-1</v>
      </c>
      <c r="U450">
        <f t="shared" ref="U450:U513" si="97">N450-S450</f>
        <v>-1</v>
      </c>
    </row>
    <row r="451" spans="1:21">
      <c r="A451" t="s">
        <v>652</v>
      </c>
      <c r="B451" t="s">
        <v>92</v>
      </c>
      <c r="C451" t="s">
        <v>729</v>
      </c>
      <c r="D451" s="1">
        <v>99</v>
      </c>
      <c r="E451" s="1">
        <f t="shared" si="86"/>
        <v>82.5</v>
      </c>
      <c r="F451">
        <v>26.9</v>
      </c>
      <c r="G451" s="1">
        <v>66</v>
      </c>
      <c r="H451">
        <f t="shared" si="87"/>
        <v>-55.6</v>
      </c>
      <c r="I451">
        <f t="shared" si="88"/>
        <v>-3.2705882352941176</v>
      </c>
      <c r="J451">
        <f t="shared" si="89"/>
        <v>0</v>
      </c>
      <c r="K451">
        <f t="shared" si="90"/>
        <v>1.0909252297006058</v>
      </c>
      <c r="L451">
        <f t="shared" si="91"/>
        <v>0</v>
      </c>
      <c r="M451" s="4">
        <f t="shared" si="92"/>
        <v>0</v>
      </c>
      <c r="N451">
        <f t="shared" si="93"/>
        <v>0</v>
      </c>
      <c r="O451" cm="1">
        <f t="array" ref="O451:Q451">_xlfn.XLOOKUP(C451, X$2:X$7, AG$2:AI$7)</f>
        <v>55.4</v>
      </c>
      <c r="P451">
        <v>-0.253</v>
      </c>
      <c r="Q451">
        <v>0</v>
      </c>
      <c r="R451">
        <f t="shared" si="94"/>
        <v>3.620189979631933E-6</v>
      </c>
      <c r="S451" s="4">
        <f t="shared" si="95"/>
        <v>1</v>
      </c>
      <c r="T451">
        <f t="shared" si="96"/>
        <v>-1</v>
      </c>
      <c r="U451">
        <f t="shared" si="97"/>
        <v>-1</v>
      </c>
    </row>
    <row r="452" spans="1:21">
      <c r="A452" t="s">
        <v>686</v>
      </c>
      <c r="B452" t="s">
        <v>92</v>
      </c>
      <c r="C452" t="s">
        <v>729</v>
      </c>
      <c r="D452" s="1">
        <v>99</v>
      </c>
      <c r="E452" s="1">
        <f t="shared" si="86"/>
        <v>82.5</v>
      </c>
      <c r="F452">
        <v>14.3</v>
      </c>
      <c r="G452" s="1">
        <v>101</v>
      </c>
      <c r="H452">
        <f t="shared" si="87"/>
        <v>-68.2</v>
      </c>
      <c r="I452">
        <f t="shared" si="88"/>
        <v>-4.0117647058823529</v>
      </c>
      <c r="J452">
        <f t="shared" si="89"/>
        <v>0</v>
      </c>
      <c r="K452">
        <f t="shared" si="90"/>
        <v>1.0909252297006058</v>
      </c>
      <c r="L452">
        <f t="shared" si="91"/>
        <v>0</v>
      </c>
      <c r="M452" s="4">
        <f t="shared" si="92"/>
        <v>0</v>
      </c>
      <c r="N452">
        <f t="shared" si="93"/>
        <v>0</v>
      </c>
      <c r="O452" cm="1">
        <f t="array" ref="O452:Q452">_xlfn.XLOOKUP(C452, X$2:X$7, AG$2:AI$7)</f>
        <v>55.4</v>
      </c>
      <c r="P452">
        <v>-0.253</v>
      </c>
      <c r="Q452">
        <v>0</v>
      </c>
      <c r="R452">
        <f t="shared" si="94"/>
        <v>5.164802568686417E-10</v>
      </c>
      <c r="S452" s="4">
        <f t="shared" si="95"/>
        <v>1</v>
      </c>
      <c r="T452">
        <f t="shared" si="96"/>
        <v>-1</v>
      </c>
      <c r="U452">
        <f t="shared" si="97"/>
        <v>-1</v>
      </c>
    </row>
    <row r="453" spans="1:21">
      <c r="A453" t="s">
        <v>702</v>
      </c>
      <c r="B453" t="s">
        <v>92</v>
      </c>
      <c r="C453" t="s">
        <v>729</v>
      </c>
      <c r="D453" s="1">
        <v>99</v>
      </c>
      <c r="E453" s="1">
        <f t="shared" si="86"/>
        <v>82.5</v>
      </c>
      <c r="F453">
        <v>9.9</v>
      </c>
      <c r="G453" s="1">
        <v>118</v>
      </c>
      <c r="H453">
        <f t="shared" si="87"/>
        <v>-72.599999999999994</v>
      </c>
      <c r="I453">
        <f t="shared" si="88"/>
        <v>-4.2705882352941176</v>
      </c>
      <c r="J453">
        <f t="shared" si="89"/>
        <v>0</v>
      </c>
      <c r="K453">
        <f t="shared" si="90"/>
        <v>1.0909252297006058</v>
      </c>
      <c r="L453">
        <f t="shared" si="91"/>
        <v>0</v>
      </c>
      <c r="M453" s="4">
        <f t="shared" si="92"/>
        <v>0</v>
      </c>
      <c r="N453">
        <f t="shared" si="93"/>
        <v>0</v>
      </c>
      <c r="O453" cm="1">
        <f t="array" ref="O453:Q453">_xlfn.XLOOKUP(C453, X$2:X$7, AG$2:AI$7)</f>
        <v>55.4</v>
      </c>
      <c r="P453">
        <v>-0.253</v>
      </c>
      <c r="Q453">
        <v>0</v>
      </c>
      <c r="R453">
        <f t="shared" si="94"/>
        <v>7.0008884538936441E-12</v>
      </c>
      <c r="S453" s="4">
        <f t="shared" si="95"/>
        <v>1</v>
      </c>
      <c r="T453">
        <f t="shared" si="96"/>
        <v>-1</v>
      </c>
      <c r="U453">
        <f t="shared" si="97"/>
        <v>-1</v>
      </c>
    </row>
    <row r="454" spans="1:21">
      <c r="A454" t="s">
        <v>710</v>
      </c>
      <c r="B454" t="s">
        <v>92</v>
      </c>
      <c r="C454" t="s">
        <v>729</v>
      </c>
      <c r="D454" s="1">
        <v>99</v>
      </c>
      <c r="E454" s="1">
        <f t="shared" si="86"/>
        <v>82.5</v>
      </c>
      <c r="F454">
        <v>6.8</v>
      </c>
      <c r="G454" s="1">
        <v>126</v>
      </c>
      <c r="H454">
        <f t="shared" si="87"/>
        <v>-75.7</v>
      </c>
      <c r="I454">
        <f t="shared" si="88"/>
        <v>-4.4529411764705884</v>
      </c>
      <c r="J454">
        <f t="shared" si="89"/>
        <v>0</v>
      </c>
      <c r="K454">
        <f t="shared" si="90"/>
        <v>1.0909252297006058</v>
      </c>
      <c r="L454">
        <f t="shared" si="91"/>
        <v>0</v>
      </c>
      <c r="M454" s="4">
        <f t="shared" si="92"/>
        <v>0</v>
      </c>
      <c r="N454">
        <f t="shared" si="93"/>
        <v>0</v>
      </c>
      <c r="O454" cm="1">
        <f t="array" ref="O454:Q454">_xlfn.XLOOKUP(C454, X$2:X$7, AG$2:AI$7)</f>
        <v>55.4</v>
      </c>
      <c r="P454">
        <v>-0.253</v>
      </c>
      <c r="Q454">
        <v>0</v>
      </c>
      <c r="R454">
        <f t="shared" si="94"/>
        <v>9.2499870912262404E-13</v>
      </c>
      <c r="S454" s="4">
        <f t="shared" si="95"/>
        <v>1</v>
      </c>
      <c r="T454">
        <f t="shared" si="96"/>
        <v>-1</v>
      </c>
      <c r="U454">
        <f t="shared" si="97"/>
        <v>-1</v>
      </c>
    </row>
    <row r="455" spans="1:21">
      <c r="A455" t="s">
        <v>711</v>
      </c>
      <c r="B455" t="s">
        <v>92</v>
      </c>
      <c r="C455" t="s">
        <v>729</v>
      </c>
      <c r="D455" s="1">
        <v>99</v>
      </c>
      <c r="E455" s="1">
        <f t="shared" si="86"/>
        <v>82.5</v>
      </c>
      <c r="F455">
        <v>6.8</v>
      </c>
      <c r="G455" s="1">
        <v>127</v>
      </c>
      <c r="H455">
        <f t="shared" si="87"/>
        <v>-75.7</v>
      </c>
      <c r="I455">
        <f t="shared" si="88"/>
        <v>-4.4529411764705884</v>
      </c>
      <c r="J455">
        <f t="shared" si="89"/>
        <v>0</v>
      </c>
      <c r="K455">
        <f t="shared" si="90"/>
        <v>1.0909252297006058</v>
      </c>
      <c r="L455">
        <f t="shared" si="91"/>
        <v>0</v>
      </c>
      <c r="M455" s="4">
        <f t="shared" si="92"/>
        <v>0</v>
      </c>
      <c r="N455">
        <f t="shared" si="93"/>
        <v>0</v>
      </c>
      <c r="O455" cm="1">
        <f t="array" ref="O455:Q455">_xlfn.XLOOKUP(C455, X$2:X$7, AG$2:AI$7)</f>
        <v>55.4</v>
      </c>
      <c r="P455">
        <v>-0.253</v>
      </c>
      <c r="Q455">
        <v>0</v>
      </c>
      <c r="R455">
        <f t="shared" si="94"/>
        <v>7.1823178836213544E-13</v>
      </c>
      <c r="S455" s="4">
        <f t="shared" si="95"/>
        <v>1</v>
      </c>
      <c r="T455">
        <f t="shared" si="96"/>
        <v>-1</v>
      </c>
      <c r="U455">
        <f t="shared" si="97"/>
        <v>-1</v>
      </c>
    </row>
    <row r="456" spans="1:21">
      <c r="A456" t="s">
        <v>722</v>
      </c>
      <c r="B456" t="s">
        <v>92</v>
      </c>
      <c r="C456" t="s">
        <v>729</v>
      </c>
      <c r="D456" s="1">
        <v>99</v>
      </c>
      <c r="E456" s="1">
        <f t="shared" si="86"/>
        <v>82.5</v>
      </c>
      <c r="F456">
        <v>3.7</v>
      </c>
      <c r="G456" s="1">
        <v>138</v>
      </c>
      <c r="H456">
        <f t="shared" si="87"/>
        <v>-78.8</v>
      </c>
      <c r="I456">
        <f t="shared" si="88"/>
        <v>-4.6352941176470583</v>
      </c>
      <c r="J456">
        <f t="shared" si="89"/>
        <v>0</v>
      </c>
      <c r="K456">
        <f t="shared" si="90"/>
        <v>1.0909252297006058</v>
      </c>
      <c r="L456">
        <f t="shared" si="91"/>
        <v>0</v>
      </c>
      <c r="M456" s="4">
        <f t="shared" si="92"/>
        <v>0</v>
      </c>
      <c r="N456">
        <f t="shared" si="93"/>
        <v>0</v>
      </c>
      <c r="O456" cm="1">
        <f t="array" ref="O456:Q456">_xlfn.XLOOKUP(C456, X$2:X$7, AG$2:AI$7)</f>
        <v>55.4</v>
      </c>
      <c r="P456">
        <v>-0.253</v>
      </c>
      <c r="Q456">
        <v>0</v>
      </c>
      <c r="R456">
        <f t="shared" si="94"/>
        <v>4.4424554327420286E-14</v>
      </c>
      <c r="S456" s="4">
        <f t="shared" si="95"/>
        <v>1</v>
      </c>
      <c r="T456">
        <f t="shared" si="96"/>
        <v>-1</v>
      </c>
      <c r="U456">
        <f t="shared" si="97"/>
        <v>-1</v>
      </c>
    </row>
    <row r="457" spans="1:21">
      <c r="A457" t="s">
        <v>279</v>
      </c>
      <c r="B457" t="s">
        <v>92</v>
      </c>
      <c r="C457" t="s">
        <v>407</v>
      </c>
      <c r="D457" s="1">
        <v>116.9</v>
      </c>
      <c r="E457" s="1">
        <f t="shared" si="86"/>
        <v>93.4</v>
      </c>
      <c r="F457">
        <v>39.6</v>
      </c>
      <c r="G457" s="1">
        <v>120</v>
      </c>
      <c r="H457">
        <f t="shared" si="87"/>
        <v>-53.800000000000004</v>
      </c>
      <c r="I457">
        <f t="shared" si="88"/>
        <v>-3.1647058823529415</v>
      </c>
      <c r="J457">
        <f t="shared" si="89"/>
        <v>0</v>
      </c>
      <c r="K457">
        <f t="shared" si="90"/>
        <v>0.94226603101549489</v>
      </c>
      <c r="L457">
        <f t="shared" si="91"/>
        <v>0</v>
      </c>
      <c r="M457" s="4">
        <f t="shared" si="92"/>
        <v>0</v>
      </c>
      <c r="N457">
        <f t="shared" si="93"/>
        <v>0</v>
      </c>
      <c r="O457" cm="1">
        <f t="array" ref="O457:Q457">_xlfn.XLOOKUP(C457, X$2:X$7, AG$2:AI$7)</f>
        <v>57.8</v>
      </c>
      <c r="P457">
        <v>-6.4299999999999996E-2</v>
      </c>
      <c r="Q457">
        <v>0</v>
      </c>
      <c r="R457">
        <f t="shared" si="94"/>
        <v>3.0059549813991289E-2</v>
      </c>
      <c r="S457" s="4">
        <f t="shared" si="95"/>
        <v>1</v>
      </c>
      <c r="T457">
        <f t="shared" si="96"/>
        <v>-1</v>
      </c>
      <c r="U457">
        <f t="shared" si="97"/>
        <v>-1</v>
      </c>
    </row>
    <row r="458" spans="1:21">
      <c r="A458" t="s">
        <v>314</v>
      </c>
      <c r="B458" t="s">
        <v>92</v>
      </c>
      <c r="C458" t="s">
        <v>407</v>
      </c>
      <c r="D458" s="1">
        <v>116.9</v>
      </c>
      <c r="E458" s="1">
        <f t="shared" si="86"/>
        <v>93.4</v>
      </c>
      <c r="F458">
        <v>19.3</v>
      </c>
      <c r="G458" s="1">
        <v>155</v>
      </c>
      <c r="H458">
        <f t="shared" si="87"/>
        <v>-74.100000000000009</v>
      </c>
      <c r="I458">
        <f t="shared" si="88"/>
        <v>-4.3588235294117652</v>
      </c>
      <c r="J458">
        <f t="shared" si="89"/>
        <v>0</v>
      </c>
      <c r="K458">
        <f t="shared" si="90"/>
        <v>0.94226603101549489</v>
      </c>
      <c r="L458">
        <f t="shared" si="91"/>
        <v>0</v>
      </c>
      <c r="M458" s="4">
        <f t="shared" si="92"/>
        <v>0</v>
      </c>
      <c r="N458">
        <f t="shared" si="93"/>
        <v>0</v>
      </c>
      <c r="O458" cm="1">
        <f t="array" ref="O458:Q458">_xlfn.XLOOKUP(C458, X$2:X$7, AG$2:AI$7)</f>
        <v>57.8</v>
      </c>
      <c r="P458">
        <v>-6.4299999999999996E-2</v>
      </c>
      <c r="Q458">
        <v>0</v>
      </c>
      <c r="R458">
        <f t="shared" si="94"/>
        <v>3.1666695104185343E-3</v>
      </c>
      <c r="S458" s="4">
        <f t="shared" si="95"/>
        <v>1</v>
      </c>
      <c r="T458">
        <f t="shared" si="96"/>
        <v>-1</v>
      </c>
      <c r="U458">
        <f t="shared" si="97"/>
        <v>-1</v>
      </c>
    </row>
    <row r="459" spans="1:21">
      <c r="A459" t="s">
        <v>390</v>
      </c>
      <c r="B459" t="s">
        <v>92</v>
      </c>
      <c r="C459" t="s">
        <v>407</v>
      </c>
      <c r="D459" s="1">
        <v>116.9</v>
      </c>
      <c r="E459" s="1">
        <f t="shared" si="86"/>
        <v>93.4</v>
      </c>
      <c r="F459">
        <v>5.6</v>
      </c>
      <c r="G459" s="1">
        <v>231</v>
      </c>
      <c r="H459">
        <f t="shared" si="87"/>
        <v>-87.800000000000011</v>
      </c>
      <c r="I459">
        <f t="shared" si="88"/>
        <v>-5.1647058823529415</v>
      </c>
      <c r="J459">
        <f t="shared" si="89"/>
        <v>0</v>
      </c>
      <c r="K459">
        <f t="shared" si="90"/>
        <v>0.94226603101549489</v>
      </c>
      <c r="L459">
        <f t="shared" si="91"/>
        <v>0</v>
      </c>
      <c r="M459" s="4">
        <f t="shared" si="92"/>
        <v>0</v>
      </c>
      <c r="N459">
        <f t="shared" si="93"/>
        <v>0</v>
      </c>
      <c r="O459" cm="1">
        <f t="array" ref="O459:Q459">_xlfn.XLOOKUP(C459, X$2:X$7, AG$2:AI$7)</f>
        <v>57.8</v>
      </c>
      <c r="P459">
        <v>-6.4299999999999996E-2</v>
      </c>
      <c r="Q459">
        <v>0</v>
      </c>
      <c r="R459">
        <f t="shared" si="94"/>
        <v>2.3894198453683471E-5</v>
      </c>
      <c r="S459" s="4">
        <f t="shared" si="95"/>
        <v>1</v>
      </c>
      <c r="T459">
        <f t="shared" si="96"/>
        <v>-1</v>
      </c>
      <c r="U459">
        <f t="shared" si="97"/>
        <v>-1</v>
      </c>
    </row>
    <row r="460" spans="1:21">
      <c r="A460" t="s">
        <v>405</v>
      </c>
      <c r="B460" t="s">
        <v>92</v>
      </c>
      <c r="C460" t="s">
        <v>407</v>
      </c>
      <c r="D460" s="1">
        <v>116.9</v>
      </c>
      <c r="E460" s="1">
        <f t="shared" si="86"/>
        <v>93.4</v>
      </c>
      <c r="F460">
        <v>0</v>
      </c>
      <c r="G460" s="1">
        <v>246</v>
      </c>
      <c r="H460">
        <f t="shared" si="87"/>
        <v>-93.4</v>
      </c>
      <c r="I460">
        <f t="shared" si="88"/>
        <v>-5.4941176470588236</v>
      </c>
      <c r="J460">
        <f t="shared" si="89"/>
        <v>0</v>
      </c>
      <c r="K460">
        <f t="shared" si="90"/>
        <v>0.94226603101549489</v>
      </c>
      <c r="L460">
        <f t="shared" si="91"/>
        <v>0</v>
      </c>
      <c r="M460" s="4">
        <f t="shared" si="92"/>
        <v>0</v>
      </c>
      <c r="N460">
        <f t="shared" si="93"/>
        <v>0</v>
      </c>
      <c r="O460" cm="1">
        <f t="array" ref="O460:Q460">_xlfn.XLOOKUP(C460, X$2:X$7, AG$2:AI$7)</f>
        <v>57.8</v>
      </c>
      <c r="P460">
        <v>-6.4299999999999996E-2</v>
      </c>
      <c r="Q460">
        <v>0</v>
      </c>
      <c r="R460">
        <f t="shared" si="94"/>
        <v>9.1078409642828042E-6</v>
      </c>
      <c r="S460" s="4">
        <f t="shared" si="95"/>
        <v>1</v>
      </c>
      <c r="T460">
        <f t="shared" si="96"/>
        <v>-1</v>
      </c>
      <c r="U460">
        <f t="shared" si="97"/>
        <v>-1</v>
      </c>
    </row>
    <row r="461" spans="1:21">
      <c r="A461" t="s">
        <v>110</v>
      </c>
      <c r="B461" t="s">
        <v>74</v>
      </c>
      <c r="C461" t="s">
        <v>159</v>
      </c>
      <c r="D461" s="1">
        <v>228</v>
      </c>
      <c r="E461" s="1">
        <f t="shared" si="86"/>
        <v>190</v>
      </c>
      <c r="F461">
        <v>38.1</v>
      </c>
      <c r="G461" s="1">
        <v>40</v>
      </c>
      <c r="H461">
        <f t="shared" si="87"/>
        <v>-151.9</v>
      </c>
      <c r="I461">
        <f t="shared" si="88"/>
        <v>-8.9352941176470591</v>
      </c>
      <c r="J461">
        <f t="shared" si="89"/>
        <v>0</v>
      </c>
      <c r="K461">
        <f t="shared" si="90"/>
        <v>0.57566309754037293</v>
      </c>
      <c r="L461">
        <f t="shared" si="91"/>
        <v>0</v>
      </c>
      <c r="M461" s="4">
        <f t="shared" si="92"/>
        <v>0</v>
      </c>
      <c r="N461">
        <f t="shared" si="93"/>
        <v>0</v>
      </c>
      <c r="O461" cm="1">
        <f t="array" ref="O461:Q461">_xlfn.XLOOKUP(C461, X$2:X$7, AG$2:AI$7)</f>
        <v>56.4</v>
      </c>
      <c r="P461">
        <v>-0.16300000000000001</v>
      </c>
      <c r="Q461">
        <v>0</v>
      </c>
      <c r="R461">
        <f t="shared" si="94"/>
        <v>9.699513191401711E-2</v>
      </c>
      <c r="S461" s="4">
        <f t="shared" si="95"/>
        <v>1</v>
      </c>
      <c r="T461">
        <f t="shared" si="96"/>
        <v>-1</v>
      </c>
      <c r="U461">
        <f t="shared" si="97"/>
        <v>-1</v>
      </c>
    </row>
    <row r="462" spans="1:21">
      <c r="A462" t="s">
        <v>153</v>
      </c>
      <c r="B462" t="s">
        <v>74</v>
      </c>
      <c r="C462" t="s">
        <v>159</v>
      </c>
      <c r="D462" s="1">
        <v>228</v>
      </c>
      <c r="E462" s="1">
        <f t="shared" si="86"/>
        <v>190</v>
      </c>
      <c r="F462">
        <v>4.2</v>
      </c>
      <c r="G462" s="1">
        <v>83</v>
      </c>
      <c r="H462">
        <f t="shared" si="87"/>
        <v>-185.8</v>
      </c>
      <c r="I462">
        <f t="shared" si="88"/>
        <v>-10.929411764705883</v>
      </c>
      <c r="J462">
        <f t="shared" si="89"/>
        <v>0</v>
      </c>
      <c r="K462">
        <f t="shared" si="90"/>
        <v>0.57566309754037293</v>
      </c>
      <c r="L462">
        <f t="shared" si="91"/>
        <v>0</v>
      </c>
      <c r="M462" s="4">
        <f t="shared" si="92"/>
        <v>0</v>
      </c>
      <c r="N462">
        <f t="shared" si="93"/>
        <v>0</v>
      </c>
      <c r="O462" cm="1">
        <f t="array" ref="O462:Q462">_xlfn.XLOOKUP(C462, X$2:X$7, AG$2:AI$7)</f>
        <v>56.4</v>
      </c>
      <c r="P462">
        <v>-0.16300000000000001</v>
      </c>
      <c r="Q462">
        <v>0</v>
      </c>
      <c r="R462">
        <f t="shared" si="94"/>
        <v>8.7655649961330606E-5</v>
      </c>
      <c r="S462" s="4">
        <f t="shared" si="95"/>
        <v>1</v>
      </c>
      <c r="T462">
        <f t="shared" si="96"/>
        <v>-1</v>
      </c>
      <c r="U462">
        <f t="shared" si="97"/>
        <v>-1</v>
      </c>
    </row>
    <row r="463" spans="1:21">
      <c r="A463" t="s">
        <v>482</v>
      </c>
      <c r="B463" t="s">
        <v>74</v>
      </c>
      <c r="C463" t="s">
        <v>586</v>
      </c>
      <c r="D463" s="1">
        <v>107.9</v>
      </c>
      <c r="E463" s="1">
        <f t="shared" si="86"/>
        <v>73</v>
      </c>
      <c r="F463">
        <v>45.1</v>
      </c>
      <c r="G463" s="1">
        <v>75</v>
      </c>
      <c r="H463">
        <f t="shared" si="87"/>
        <v>-27.9</v>
      </c>
      <c r="I463">
        <f t="shared" si="88"/>
        <v>-1.6411764705882352</v>
      </c>
      <c r="J463">
        <f t="shared" si="89"/>
        <v>0</v>
      </c>
      <c r="K463">
        <f t="shared" si="90"/>
        <v>1.0011070456397422</v>
      </c>
      <c r="L463">
        <f t="shared" si="91"/>
        <v>0</v>
      </c>
      <c r="M463" s="4">
        <f t="shared" si="92"/>
        <v>0</v>
      </c>
      <c r="N463">
        <f t="shared" si="93"/>
        <v>0</v>
      </c>
      <c r="O463" cm="1">
        <f t="array" ref="O463:Q463">_xlfn.XLOOKUP(C463, X$2:X$7, AG$2:AI$7)</f>
        <v>5.0900000000000001E-2</v>
      </c>
      <c r="P463">
        <v>-3.9</v>
      </c>
      <c r="Q463">
        <v>73.900000000000006</v>
      </c>
      <c r="R463">
        <f t="shared" si="94"/>
        <v>79.020487500000016</v>
      </c>
      <c r="S463" s="4">
        <f t="shared" si="95"/>
        <v>1</v>
      </c>
      <c r="T463">
        <f t="shared" si="96"/>
        <v>-1</v>
      </c>
      <c r="U463">
        <f t="shared" si="97"/>
        <v>-1</v>
      </c>
    </row>
    <row r="464" spans="1:21">
      <c r="A464" t="s">
        <v>492</v>
      </c>
      <c r="B464" t="s">
        <v>74</v>
      </c>
      <c r="C464" t="s">
        <v>586</v>
      </c>
      <c r="D464" s="1">
        <v>107.9</v>
      </c>
      <c r="E464" s="1">
        <f t="shared" si="86"/>
        <v>73</v>
      </c>
      <c r="F464">
        <v>33.9</v>
      </c>
      <c r="G464" s="1">
        <v>85</v>
      </c>
      <c r="H464">
        <f t="shared" si="87"/>
        <v>-39.1</v>
      </c>
      <c r="I464">
        <f t="shared" si="88"/>
        <v>-2.3000000000000003</v>
      </c>
      <c r="J464">
        <f t="shared" si="89"/>
        <v>0</v>
      </c>
      <c r="K464">
        <f t="shared" si="90"/>
        <v>1.0011070456397422</v>
      </c>
      <c r="L464">
        <f t="shared" si="91"/>
        <v>0</v>
      </c>
      <c r="M464" s="4">
        <f t="shared" si="92"/>
        <v>0</v>
      </c>
      <c r="N464">
        <f t="shared" si="93"/>
        <v>0</v>
      </c>
      <c r="O464" cm="1">
        <f t="array" ref="O464:Q464">_xlfn.XLOOKUP(C464, X$2:X$7, AG$2:AI$7)</f>
        <v>5.0900000000000001E-2</v>
      </c>
      <c r="P464">
        <v>-3.9</v>
      </c>
      <c r="Q464">
        <v>73.900000000000006</v>
      </c>
      <c r="R464">
        <f t="shared" si="94"/>
        <v>128.5479675</v>
      </c>
      <c r="S464" s="4">
        <f t="shared" si="95"/>
        <v>1</v>
      </c>
      <c r="T464">
        <f t="shared" si="96"/>
        <v>-1</v>
      </c>
      <c r="U464">
        <f t="shared" si="97"/>
        <v>-1</v>
      </c>
    </row>
    <row r="465" spans="1:21">
      <c r="A465" t="s">
        <v>505</v>
      </c>
      <c r="B465" t="s">
        <v>74</v>
      </c>
      <c r="C465" t="s">
        <v>586</v>
      </c>
      <c r="D465" s="1">
        <v>107.9</v>
      </c>
      <c r="E465" s="1">
        <f t="shared" si="86"/>
        <v>73</v>
      </c>
      <c r="F465">
        <v>28.3</v>
      </c>
      <c r="G465" s="1">
        <v>98</v>
      </c>
      <c r="H465">
        <f t="shared" si="87"/>
        <v>-44.7</v>
      </c>
      <c r="I465">
        <f t="shared" si="88"/>
        <v>-2.6294117647058823</v>
      </c>
      <c r="J465">
        <f t="shared" si="89"/>
        <v>0</v>
      </c>
      <c r="K465">
        <f t="shared" si="90"/>
        <v>1.0011070456397422</v>
      </c>
      <c r="L465">
        <f t="shared" si="91"/>
        <v>0</v>
      </c>
      <c r="M465" s="4">
        <f t="shared" si="92"/>
        <v>0</v>
      </c>
      <c r="N465">
        <f t="shared" si="93"/>
        <v>0</v>
      </c>
      <c r="O465" cm="1">
        <f t="array" ref="O465:Q465">_xlfn.XLOOKUP(C465, X$2:X$7, AG$2:AI$7)</f>
        <v>5.0900000000000001E-2</v>
      </c>
      <c r="P465">
        <v>-3.9</v>
      </c>
      <c r="Q465">
        <v>73.900000000000006</v>
      </c>
      <c r="R465">
        <f t="shared" si="94"/>
        <v>210.69438120000001</v>
      </c>
      <c r="S465" s="4">
        <f t="shared" si="95"/>
        <v>1</v>
      </c>
      <c r="T465">
        <f t="shared" si="96"/>
        <v>-1</v>
      </c>
      <c r="U465">
        <f t="shared" si="97"/>
        <v>-1</v>
      </c>
    </row>
    <row r="466" spans="1:21">
      <c r="A466" t="s">
        <v>538</v>
      </c>
      <c r="B466" t="s">
        <v>74</v>
      </c>
      <c r="C466" t="s">
        <v>586</v>
      </c>
      <c r="D466" s="1">
        <v>107.9</v>
      </c>
      <c r="E466" s="1">
        <f t="shared" si="86"/>
        <v>73</v>
      </c>
      <c r="F466">
        <v>15.5</v>
      </c>
      <c r="G466" s="1">
        <v>133</v>
      </c>
      <c r="H466">
        <f t="shared" si="87"/>
        <v>-57.5</v>
      </c>
      <c r="I466">
        <f t="shared" si="88"/>
        <v>-3.3823529411764706</v>
      </c>
      <c r="J466">
        <f t="shared" si="89"/>
        <v>0</v>
      </c>
      <c r="K466">
        <f t="shared" si="90"/>
        <v>1.0011070456397422</v>
      </c>
      <c r="L466">
        <f t="shared" si="91"/>
        <v>0</v>
      </c>
      <c r="M466" s="4">
        <f t="shared" si="92"/>
        <v>0</v>
      </c>
      <c r="N466">
        <f t="shared" si="93"/>
        <v>0</v>
      </c>
      <c r="O466" cm="1">
        <f t="array" ref="O466:Q466">_xlfn.XLOOKUP(C466, X$2:X$7, AG$2:AI$7)</f>
        <v>5.0900000000000001E-2</v>
      </c>
      <c r="P466">
        <v>-3.9</v>
      </c>
      <c r="Q466">
        <v>73.900000000000006</v>
      </c>
      <c r="R466">
        <f t="shared" si="94"/>
        <v>531.6503067000001</v>
      </c>
      <c r="S466" s="4">
        <f t="shared" si="95"/>
        <v>1</v>
      </c>
      <c r="T466">
        <f t="shared" si="96"/>
        <v>-1</v>
      </c>
      <c r="U466">
        <f t="shared" si="97"/>
        <v>-1</v>
      </c>
    </row>
    <row r="467" spans="1:21">
      <c r="A467" t="s">
        <v>570</v>
      </c>
      <c r="B467" t="s">
        <v>74</v>
      </c>
      <c r="C467" t="s">
        <v>586</v>
      </c>
      <c r="D467" s="1">
        <v>107.9</v>
      </c>
      <c r="E467" s="1">
        <f t="shared" si="86"/>
        <v>73</v>
      </c>
      <c r="F467">
        <v>5.6</v>
      </c>
      <c r="G467" s="1">
        <v>165</v>
      </c>
      <c r="H467">
        <f t="shared" si="87"/>
        <v>-67.400000000000006</v>
      </c>
      <c r="I467">
        <f t="shared" si="88"/>
        <v>-3.9647058823529413</v>
      </c>
      <c r="J467">
        <f t="shared" si="89"/>
        <v>0</v>
      </c>
      <c r="K467">
        <f t="shared" si="90"/>
        <v>1.0011070456397422</v>
      </c>
      <c r="L467">
        <f t="shared" si="91"/>
        <v>0</v>
      </c>
      <c r="M467" s="4">
        <f t="shared" si="92"/>
        <v>0</v>
      </c>
      <c r="N467">
        <f t="shared" si="93"/>
        <v>0</v>
      </c>
      <c r="O467" cm="1">
        <f t="array" ref="O467:Q467">_xlfn.XLOOKUP(C467, X$2:X$7, AG$2:AI$7)</f>
        <v>5.0900000000000001E-2</v>
      </c>
      <c r="P467">
        <v>-3.9</v>
      </c>
      <c r="Q467">
        <v>73.900000000000006</v>
      </c>
      <c r="R467">
        <f t="shared" si="94"/>
        <v>952.44996750000007</v>
      </c>
      <c r="S467" s="4">
        <f t="shared" si="95"/>
        <v>1</v>
      </c>
      <c r="T467">
        <f t="shared" si="96"/>
        <v>-1</v>
      </c>
      <c r="U467">
        <f t="shared" si="97"/>
        <v>-1</v>
      </c>
    </row>
    <row r="468" spans="1:21">
      <c r="A468" t="s">
        <v>614</v>
      </c>
      <c r="B468" t="s">
        <v>74</v>
      </c>
      <c r="C468" t="s">
        <v>729</v>
      </c>
      <c r="D468" s="1">
        <v>99</v>
      </c>
      <c r="E468" s="1">
        <f t="shared" si="86"/>
        <v>82.5</v>
      </c>
      <c r="F468">
        <v>77.3</v>
      </c>
      <c r="G468" s="1">
        <v>28</v>
      </c>
      <c r="H468">
        <f t="shared" si="87"/>
        <v>-5.2000000000000028</v>
      </c>
      <c r="I468">
        <f t="shared" si="88"/>
        <v>-0.30588235294117666</v>
      </c>
      <c r="J468">
        <f t="shared" si="89"/>
        <v>0</v>
      </c>
      <c r="K468">
        <f t="shared" si="90"/>
        <v>1.0909252297006058</v>
      </c>
      <c r="L468">
        <f t="shared" si="91"/>
        <v>0</v>
      </c>
      <c r="M468" s="4">
        <f t="shared" si="92"/>
        <v>0</v>
      </c>
      <c r="N468">
        <f t="shared" si="93"/>
        <v>0</v>
      </c>
      <c r="O468" cm="1">
        <f t="array" ref="O468:Q468">_xlfn.XLOOKUP(C468, X$2:X$7, AG$2:AI$7)</f>
        <v>55.4</v>
      </c>
      <c r="P468">
        <v>-0.253</v>
      </c>
      <c r="Q468">
        <v>0</v>
      </c>
      <c r="R468">
        <f t="shared" si="94"/>
        <v>5.4204895434673925E-2</v>
      </c>
      <c r="S468" s="4">
        <f t="shared" si="95"/>
        <v>1</v>
      </c>
      <c r="T468">
        <f t="shared" si="96"/>
        <v>-1</v>
      </c>
      <c r="U468">
        <f t="shared" si="97"/>
        <v>-1</v>
      </c>
    </row>
    <row r="469" spans="1:21">
      <c r="A469" t="s">
        <v>639</v>
      </c>
      <c r="B469" t="s">
        <v>74</v>
      </c>
      <c r="C469" t="s">
        <v>729</v>
      </c>
      <c r="D469" s="1">
        <v>99</v>
      </c>
      <c r="E469" s="1">
        <f t="shared" si="86"/>
        <v>82.5</v>
      </c>
      <c r="F469">
        <v>32.200000000000003</v>
      </c>
      <c r="G469" s="1">
        <v>53</v>
      </c>
      <c r="H469">
        <f t="shared" si="87"/>
        <v>-50.3</v>
      </c>
      <c r="I469">
        <f t="shared" si="88"/>
        <v>-2.9588235294117644</v>
      </c>
      <c r="J469">
        <f t="shared" si="89"/>
        <v>0</v>
      </c>
      <c r="K469">
        <f t="shared" si="90"/>
        <v>1.0909252297006058</v>
      </c>
      <c r="L469">
        <f t="shared" si="91"/>
        <v>0</v>
      </c>
      <c r="M469" s="4">
        <f t="shared" si="92"/>
        <v>0</v>
      </c>
      <c r="N469">
        <f t="shared" si="93"/>
        <v>0</v>
      </c>
      <c r="O469" cm="1">
        <f t="array" ref="O469:Q469">_xlfn.XLOOKUP(C469, X$2:X$7, AG$2:AI$7)</f>
        <v>55.4</v>
      </c>
      <c r="P469">
        <v>-0.253</v>
      </c>
      <c r="Q469">
        <v>0</v>
      </c>
      <c r="R469">
        <f t="shared" si="94"/>
        <v>9.707913833761946E-5</v>
      </c>
      <c r="S469" s="4">
        <f t="shared" si="95"/>
        <v>1</v>
      </c>
      <c r="T469">
        <f t="shared" si="96"/>
        <v>-1</v>
      </c>
      <c r="U469">
        <f t="shared" si="97"/>
        <v>-1</v>
      </c>
    </row>
    <row r="470" spans="1:21">
      <c r="A470" t="s">
        <v>645</v>
      </c>
      <c r="B470" t="s">
        <v>74</v>
      </c>
      <c r="C470" t="s">
        <v>729</v>
      </c>
      <c r="D470" s="1">
        <v>99</v>
      </c>
      <c r="E470" s="1">
        <f t="shared" si="86"/>
        <v>82.5</v>
      </c>
      <c r="F470">
        <v>28.8</v>
      </c>
      <c r="G470" s="1">
        <v>59</v>
      </c>
      <c r="H470">
        <f t="shared" si="87"/>
        <v>-53.7</v>
      </c>
      <c r="I470">
        <f t="shared" si="88"/>
        <v>-3.158823529411765</v>
      </c>
      <c r="J470">
        <f t="shared" si="89"/>
        <v>0</v>
      </c>
      <c r="K470">
        <f t="shared" si="90"/>
        <v>1.0909252297006058</v>
      </c>
      <c r="L470">
        <f t="shared" si="91"/>
        <v>0</v>
      </c>
      <c r="M470" s="4">
        <f t="shared" si="92"/>
        <v>0</v>
      </c>
      <c r="N470">
        <f t="shared" si="93"/>
        <v>0</v>
      </c>
      <c r="O470" cm="1">
        <f t="array" ref="O470:Q470">_xlfn.XLOOKUP(C470, X$2:X$7, AG$2:AI$7)</f>
        <v>55.4</v>
      </c>
      <c r="P470">
        <v>-0.253</v>
      </c>
      <c r="Q470">
        <v>0</v>
      </c>
      <c r="R470">
        <f t="shared" si="94"/>
        <v>2.1274868745621935E-5</v>
      </c>
      <c r="S470" s="4">
        <f t="shared" si="95"/>
        <v>1</v>
      </c>
      <c r="T470">
        <f t="shared" si="96"/>
        <v>-1</v>
      </c>
      <c r="U470">
        <f t="shared" si="97"/>
        <v>-1</v>
      </c>
    </row>
    <row r="471" spans="1:21">
      <c r="A471" t="s">
        <v>671</v>
      </c>
      <c r="B471" t="s">
        <v>74</v>
      </c>
      <c r="C471" t="s">
        <v>729</v>
      </c>
      <c r="D471" s="1">
        <v>99</v>
      </c>
      <c r="E471" s="1">
        <f t="shared" si="86"/>
        <v>82.5</v>
      </c>
      <c r="F471">
        <v>19.8</v>
      </c>
      <c r="G471" s="1">
        <v>85</v>
      </c>
      <c r="H471">
        <f t="shared" si="87"/>
        <v>-62.7</v>
      </c>
      <c r="I471">
        <f t="shared" si="88"/>
        <v>-3.6882352941176473</v>
      </c>
      <c r="J471">
        <f t="shared" si="89"/>
        <v>0</v>
      </c>
      <c r="K471">
        <f t="shared" si="90"/>
        <v>1.0909252297006058</v>
      </c>
      <c r="L471">
        <f t="shared" si="91"/>
        <v>0</v>
      </c>
      <c r="M471" s="4">
        <f t="shared" si="92"/>
        <v>0</v>
      </c>
      <c r="N471">
        <f t="shared" si="93"/>
        <v>0</v>
      </c>
      <c r="O471" cm="1">
        <f t="array" ref="O471:Q471">_xlfn.XLOOKUP(C471, X$2:X$7, AG$2:AI$7)</f>
        <v>55.4</v>
      </c>
      <c r="P471">
        <v>-0.253</v>
      </c>
      <c r="Q471">
        <v>0</v>
      </c>
      <c r="R471">
        <f t="shared" si="94"/>
        <v>2.9585423301522321E-8</v>
      </c>
      <c r="S471" s="4">
        <f t="shared" si="95"/>
        <v>1</v>
      </c>
      <c r="T471">
        <f t="shared" si="96"/>
        <v>-1</v>
      </c>
      <c r="U471">
        <f t="shared" si="97"/>
        <v>-1</v>
      </c>
    </row>
    <row r="472" spans="1:21">
      <c r="A472" t="s">
        <v>693</v>
      </c>
      <c r="B472" t="s">
        <v>74</v>
      </c>
      <c r="C472" t="s">
        <v>729</v>
      </c>
      <c r="D472" s="1">
        <v>99</v>
      </c>
      <c r="E472" s="1">
        <f t="shared" si="86"/>
        <v>82.5</v>
      </c>
      <c r="F472">
        <v>12.6</v>
      </c>
      <c r="G472" s="1">
        <v>108</v>
      </c>
      <c r="H472">
        <f t="shared" si="87"/>
        <v>-69.900000000000006</v>
      </c>
      <c r="I472">
        <f t="shared" si="88"/>
        <v>-4.1117647058823534</v>
      </c>
      <c r="J472">
        <f t="shared" si="89"/>
        <v>0</v>
      </c>
      <c r="K472">
        <f t="shared" si="90"/>
        <v>1.0909252297006058</v>
      </c>
      <c r="L472">
        <f t="shared" si="91"/>
        <v>0</v>
      </c>
      <c r="M472" s="4">
        <f t="shared" si="92"/>
        <v>0</v>
      </c>
      <c r="N472">
        <f t="shared" si="93"/>
        <v>0</v>
      </c>
      <c r="O472" cm="1">
        <f t="array" ref="O472:Q472">_xlfn.XLOOKUP(C472, X$2:X$7, AG$2:AI$7)</f>
        <v>55.4</v>
      </c>
      <c r="P472">
        <v>-0.253</v>
      </c>
      <c r="Q472">
        <v>0</v>
      </c>
      <c r="R472">
        <f t="shared" si="94"/>
        <v>8.7885696168083414E-11</v>
      </c>
      <c r="S472" s="4">
        <f t="shared" si="95"/>
        <v>1</v>
      </c>
      <c r="T472">
        <f t="shared" si="96"/>
        <v>-1</v>
      </c>
      <c r="U472">
        <f t="shared" si="97"/>
        <v>-1</v>
      </c>
    </row>
    <row r="473" spans="1:21">
      <c r="A473" t="s">
        <v>716</v>
      </c>
      <c r="B473" t="s">
        <v>74</v>
      </c>
      <c r="C473" t="s">
        <v>729</v>
      </c>
      <c r="D473" s="1">
        <v>99</v>
      </c>
      <c r="E473" s="1">
        <f t="shared" si="86"/>
        <v>82.5</v>
      </c>
      <c r="F473">
        <v>5.8</v>
      </c>
      <c r="G473" s="1">
        <v>132</v>
      </c>
      <c r="H473">
        <f t="shared" si="87"/>
        <v>-76.7</v>
      </c>
      <c r="I473">
        <f t="shared" si="88"/>
        <v>-4.5117647058823529</v>
      </c>
      <c r="J473">
        <f t="shared" si="89"/>
        <v>0</v>
      </c>
      <c r="K473">
        <f t="shared" si="90"/>
        <v>1.0909252297006058</v>
      </c>
      <c r="L473">
        <f t="shared" si="91"/>
        <v>0</v>
      </c>
      <c r="M473" s="4">
        <f t="shared" si="92"/>
        <v>0</v>
      </c>
      <c r="N473">
        <f t="shared" si="93"/>
        <v>0</v>
      </c>
      <c r="O473" cm="1">
        <f t="array" ref="O473:Q473">_xlfn.XLOOKUP(C473, X$2:X$7, AG$2:AI$7)</f>
        <v>55.4</v>
      </c>
      <c r="P473">
        <v>-0.253</v>
      </c>
      <c r="Q473">
        <v>0</v>
      </c>
      <c r="R473">
        <f t="shared" si="94"/>
        <v>2.0271323441307833E-13</v>
      </c>
      <c r="S473" s="4">
        <f t="shared" si="95"/>
        <v>1</v>
      </c>
      <c r="T473">
        <f t="shared" si="96"/>
        <v>-1</v>
      </c>
      <c r="U473">
        <f t="shared" si="97"/>
        <v>-1</v>
      </c>
    </row>
    <row r="474" spans="1:21">
      <c r="A474" t="s">
        <v>261</v>
      </c>
      <c r="B474" t="s">
        <v>74</v>
      </c>
      <c r="C474" t="s">
        <v>407</v>
      </c>
      <c r="D474" s="1">
        <v>116.9</v>
      </c>
      <c r="E474" s="1">
        <f t="shared" si="86"/>
        <v>93.4</v>
      </c>
      <c r="F474">
        <v>59.1</v>
      </c>
      <c r="G474" s="1">
        <v>102</v>
      </c>
      <c r="H474">
        <f t="shared" si="87"/>
        <v>-34.300000000000004</v>
      </c>
      <c r="I474">
        <f t="shared" si="88"/>
        <v>-2.0176470588235298</v>
      </c>
      <c r="J474">
        <f t="shared" si="89"/>
        <v>0</v>
      </c>
      <c r="K474">
        <f t="shared" si="90"/>
        <v>0.94226603101549489</v>
      </c>
      <c r="L474">
        <f t="shared" si="91"/>
        <v>0</v>
      </c>
      <c r="M474" s="4">
        <f t="shared" si="92"/>
        <v>0</v>
      </c>
      <c r="N474">
        <f t="shared" si="93"/>
        <v>0</v>
      </c>
      <c r="O474" cm="1">
        <f t="array" ref="O474:Q474">_xlfn.XLOOKUP(C474, X$2:X$7, AG$2:AI$7)</f>
        <v>57.8</v>
      </c>
      <c r="P474">
        <v>-6.4299999999999996E-2</v>
      </c>
      <c r="Q474">
        <v>0</v>
      </c>
      <c r="R474">
        <f t="shared" si="94"/>
        <v>9.5638973345952866E-2</v>
      </c>
      <c r="S474" s="4">
        <f t="shared" si="95"/>
        <v>1</v>
      </c>
      <c r="T474">
        <f t="shared" si="96"/>
        <v>-1</v>
      </c>
      <c r="U474">
        <f t="shared" si="97"/>
        <v>-1</v>
      </c>
    </row>
    <row r="475" spans="1:21">
      <c r="A475" t="s">
        <v>270</v>
      </c>
      <c r="B475" t="s">
        <v>74</v>
      </c>
      <c r="C475" t="s">
        <v>407</v>
      </c>
      <c r="D475" s="1">
        <v>116.9</v>
      </c>
      <c r="E475" s="1">
        <f t="shared" si="86"/>
        <v>93.4</v>
      </c>
      <c r="F475">
        <v>52.1</v>
      </c>
      <c r="G475" s="1">
        <v>111</v>
      </c>
      <c r="H475">
        <f t="shared" si="87"/>
        <v>-41.300000000000004</v>
      </c>
      <c r="I475">
        <f t="shared" si="88"/>
        <v>-2.4294117647058826</v>
      </c>
      <c r="J475">
        <f t="shared" si="89"/>
        <v>0</v>
      </c>
      <c r="K475">
        <f t="shared" si="90"/>
        <v>0.94226603101549489</v>
      </c>
      <c r="L475">
        <f t="shared" si="91"/>
        <v>0</v>
      </c>
      <c r="M475" s="4">
        <f t="shared" si="92"/>
        <v>0</v>
      </c>
      <c r="N475">
        <f t="shared" si="93"/>
        <v>0</v>
      </c>
      <c r="O475" cm="1">
        <f t="array" ref="O475:Q475">_xlfn.XLOOKUP(C475, X$2:X$7, AG$2:AI$7)</f>
        <v>57.8</v>
      </c>
      <c r="P475">
        <v>-6.4299999999999996E-2</v>
      </c>
      <c r="Q475">
        <v>0</v>
      </c>
      <c r="R475">
        <f t="shared" si="94"/>
        <v>5.3617762760596911E-2</v>
      </c>
      <c r="S475" s="4">
        <f t="shared" si="95"/>
        <v>1</v>
      </c>
      <c r="T475">
        <f t="shared" si="96"/>
        <v>-1</v>
      </c>
      <c r="U475">
        <f t="shared" si="97"/>
        <v>-1</v>
      </c>
    </row>
    <row r="476" spans="1:21">
      <c r="A476" t="s">
        <v>271</v>
      </c>
      <c r="B476" t="s">
        <v>74</v>
      </c>
      <c r="C476" t="s">
        <v>407</v>
      </c>
      <c r="D476" s="1">
        <v>116.9</v>
      </c>
      <c r="E476" s="1">
        <f t="shared" si="86"/>
        <v>93.4</v>
      </c>
      <c r="F476">
        <v>51.9</v>
      </c>
      <c r="G476" s="1">
        <v>112</v>
      </c>
      <c r="H476">
        <f t="shared" si="87"/>
        <v>-41.500000000000007</v>
      </c>
      <c r="I476">
        <f t="shared" si="88"/>
        <v>-2.4411764705882355</v>
      </c>
      <c r="J476">
        <f t="shared" si="89"/>
        <v>0</v>
      </c>
      <c r="K476">
        <f t="shared" si="90"/>
        <v>0.94226603101549489</v>
      </c>
      <c r="L476">
        <f t="shared" si="91"/>
        <v>0</v>
      </c>
      <c r="M476" s="4">
        <f t="shared" si="92"/>
        <v>0</v>
      </c>
      <c r="N476">
        <f t="shared" si="93"/>
        <v>0</v>
      </c>
      <c r="O476" cm="1">
        <f t="array" ref="O476:Q476">_xlfn.XLOOKUP(C476, X$2:X$7, AG$2:AI$7)</f>
        <v>57.8</v>
      </c>
      <c r="P476">
        <v>-6.4299999999999996E-2</v>
      </c>
      <c r="Q476">
        <v>0</v>
      </c>
      <c r="R476">
        <f t="shared" si="94"/>
        <v>5.0278643677224094E-2</v>
      </c>
      <c r="S476" s="4">
        <f t="shared" si="95"/>
        <v>1</v>
      </c>
      <c r="T476">
        <f t="shared" si="96"/>
        <v>-1</v>
      </c>
      <c r="U476">
        <f t="shared" si="97"/>
        <v>-1</v>
      </c>
    </row>
    <row r="477" spans="1:21">
      <c r="A477" t="s">
        <v>337</v>
      </c>
      <c r="B477" t="s">
        <v>74</v>
      </c>
      <c r="C477" t="s">
        <v>407</v>
      </c>
      <c r="D477" s="1">
        <v>116.9</v>
      </c>
      <c r="E477" s="1">
        <f t="shared" si="86"/>
        <v>93.4</v>
      </c>
      <c r="F477">
        <v>11</v>
      </c>
      <c r="G477" s="1">
        <v>178</v>
      </c>
      <c r="H477">
        <f t="shared" si="87"/>
        <v>-82.4</v>
      </c>
      <c r="I477">
        <f t="shared" si="88"/>
        <v>-4.8470588235294123</v>
      </c>
      <c r="J477">
        <f t="shared" si="89"/>
        <v>0</v>
      </c>
      <c r="K477">
        <f t="shared" si="90"/>
        <v>0.94226603101549489</v>
      </c>
      <c r="L477">
        <f t="shared" si="91"/>
        <v>0</v>
      </c>
      <c r="M477" s="4">
        <f t="shared" si="92"/>
        <v>0</v>
      </c>
      <c r="N477">
        <f t="shared" si="93"/>
        <v>0</v>
      </c>
      <c r="O477" cm="1">
        <f t="array" ref="O477:Q477">_xlfn.XLOOKUP(C477, X$2:X$7, AG$2:AI$7)</f>
        <v>57.8</v>
      </c>
      <c r="P477">
        <v>-6.4299999999999996E-2</v>
      </c>
      <c r="Q477">
        <v>0</v>
      </c>
      <c r="R477">
        <f t="shared" si="94"/>
        <v>7.2164670216334184E-4</v>
      </c>
      <c r="S477" s="4">
        <f t="shared" si="95"/>
        <v>1</v>
      </c>
      <c r="T477">
        <f t="shared" si="96"/>
        <v>-1</v>
      </c>
      <c r="U477">
        <f t="shared" si="97"/>
        <v>-1</v>
      </c>
    </row>
    <row r="478" spans="1:21">
      <c r="A478" t="s">
        <v>388</v>
      </c>
      <c r="B478" t="s">
        <v>74</v>
      </c>
      <c r="C478" t="s">
        <v>407</v>
      </c>
      <c r="D478" s="1">
        <v>116.9</v>
      </c>
      <c r="E478" s="1">
        <f t="shared" si="86"/>
        <v>93.4</v>
      </c>
      <c r="F478">
        <v>5.9</v>
      </c>
      <c r="G478" s="1">
        <v>229</v>
      </c>
      <c r="H478">
        <f t="shared" si="87"/>
        <v>-87.5</v>
      </c>
      <c r="I478">
        <f t="shared" si="88"/>
        <v>-5.1470588235294121</v>
      </c>
      <c r="J478">
        <f t="shared" si="89"/>
        <v>0</v>
      </c>
      <c r="K478">
        <f t="shared" si="90"/>
        <v>0.94226603101549489</v>
      </c>
      <c r="L478">
        <f t="shared" si="91"/>
        <v>0</v>
      </c>
      <c r="M478" s="4">
        <f t="shared" si="92"/>
        <v>0</v>
      </c>
      <c r="N478">
        <f t="shared" si="93"/>
        <v>0</v>
      </c>
      <c r="O478" cm="1">
        <f t="array" ref="O478:Q478">_xlfn.XLOOKUP(C478, X$2:X$7, AG$2:AI$7)</f>
        <v>57.8</v>
      </c>
      <c r="P478">
        <v>-6.4299999999999996E-2</v>
      </c>
      <c r="Q478">
        <v>0</v>
      </c>
      <c r="R478">
        <f t="shared" si="94"/>
        <v>2.7173322102615104E-5</v>
      </c>
      <c r="S478" s="4">
        <f t="shared" si="95"/>
        <v>1</v>
      </c>
      <c r="T478">
        <f t="shared" si="96"/>
        <v>-1</v>
      </c>
      <c r="U478">
        <f t="shared" si="97"/>
        <v>-1</v>
      </c>
    </row>
    <row r="479" spans="1:21">
      <c r="A479" t="s">
        <v>392</v>
      </c>
      <c r="B479" t="s">
        <v>74</v>
      </c>
      <c r="C479" t="s">
        <v>407</v>
      </c>
      <c r="D479" s="1">
        <v>116.9</v>
      </c>
      <c r="E479" s="1">
        <f t="shared" si="86"/>
        <v>93.4</v>
      </c>
      <c r="F479">
        <v>5.4</v>
      </c>
      <c r="G479" s="1">
        <v>233</v>
      </c>
      <c r="H479">
        <f t="shared" si="87"/>
        <v>-88</v>
      </c>
      <c r="I479">
        <f t="shared" si="88"/>
        <v>-5.1764705882352944</v>
      </c>
      <c r="J479">
        <f t="shared" si="89"/>
        <v>0</v>
      </c>
      <c r="K479">
        <f t="shared" si="90"/>
        <v>0.94226603101549489</v>
      </c>
      <c r="L479">
        <f t="shared" si="91"/>
        <v>0</v>
      </c>
      <c r="M479" s="4">
        <f t="shared" si="92"/>
        <v>0</v>
      </c>
      <c r="N479">
        <f t="shared" si="93"/>
        <v>0</v>
      </c>
      <c r="O479" cm="1">
        <f t="array" ref="O479:Q479">_xlfn.XLOOKUP(C479, X$2:X$7, AG$2:AI$7)</f>
        <v>57.8</v>
      </c>
      <c r="P479">
        <v>-6.4299999999999996E-2</v>
      </c>
      <c r="Q479">
        <v>0</v>
      </c>
      <c r="R479">
        <f t="shared" si="94"/>
        <v>2.1010781000128956E-5</v>
      </c>
      <c r="S479" s="4">
        <f t="shared" si="95"/>
        <v>1</v>
      </c>
      <c r="T479">
        <f t="shared" si="96"/>
        <v>-1</v>
      </c>
      <c r="U479">
        <f t="shared" si="97"/>
        <v>-1</v>
      </c>
    </row>
    <row r="480" spans="1:21">
      <c r="A480" t="s">
        <v>398</v>
      </c>
      <c r="B480" t="s">
        <v>74</v>
      </c>
      <c r="C480" t="s">
        <v>407</v>
      </c>
      <c r="D480" s="1">
        <v>116.9</v>
      </c>
      <c r="E480" s="1">
        <f t="shared" si="86"/>
        <v>93.4</v>
      </c>
      <c r="F480">
        <v>2.4</v>
      </c>
      <c r="G480" s="1">
        <v>239</v>
      </c>
      <c r="H480">
        <f t="shared" si="87"/>
        <v>-91</v>
      </c>
      <c r="I480">
        <f t="shared" si="88"/>
        <v>-5.3529411764705879</v>
      </c>
      <c r="J480">
        <f t="shared" si="89"/>
        <v>0</v>
      </c>
      <c r="K480">
        <f t="shared" si="90"/>
        <v>0.94226603101549489</v>
      </c>
      <c r="L480">
        <f t="shared" si="91"/>
        <v>0</v>
      </c>
      <c r="M480" s="4">
        <f t="shared" si="92"/>
        <v>0</v>
      </c>
      <c r="N480">
        <f t="shared" si="93"/>
        <v>0</v>
      </c>
      <c r="O480" cm="1">
        <f t="array" ref="O480:Q480">_xlfn.XLOOKUP(C480, X$2:X$7, AG$2:AI$7)</f>
        <v>57.8</v>
      </c>
      <c r="P480">
        <v>-6.4299999999999996E-2</v>
      </c>
      <c r="Q480">
        <v>0</v>
      </c>
      <c r="R480">
        <f t="shared" si="94"/>
        <v>1.4285366433010086E-5</v>
      </c>
      <c r="S480" s="4">
        <f t="shared" si="95"/>
        <v>1</v>
      </c>
      <c r="T480">
        <f t="shared" si="96"/>
        <v>-1</v>
      </c>
      <c r="U480">
        <f t="shared" si="97"/>
        <v>-1</v>
      </c>
    </row>
    <row r="481" spans="1:21">
      <c r="A481" t="s">
        <v>133</v>
      </c>
      <c r="B481" t="s">
        <v>58</v>
      </c>
      <c r="C481" t="s">
        <v>159</v>
      </c>
      <c r="D481" s="1">
        <v>228</v>
      </c>
      <c r="E481" s="1">
        <f t="shared" si="86"/>
        <v>190</v>
      </c>
      <c r="F481">
        <v>17.8</v>
      </c>
      <c r="G481" s="1">
        <v>63</v>
      </c>
      <c r="H481">
        <f t="shared" si="87"/>
        <v>-172.2</v>
      </c>
      <c r="I481">
        <f t="shared" si="88"/>
        <v>-10.129411764705882</v>
      </c>
      <c r="J481">
        <f t="shared" si="89"/>
        <v>0</v>
      </c>
      <c r="K481">
        <f t="shared" si="90"/>
        <v>0.57566309754037293</v>
      </c>
      <c r="L481">
        <f t="shared" si="91"/>
        <v>0</v>
      </c>
      <c r="M481" s="4">
        <f t="shared" si="92"/>
        <v>0</v>
      </c>
      <c r="N481">
        <f t="shared" si="93"/>
        <v>0</v>
      </c>
      <c r="O481" cm="1">
        <f t="array" ref="O481:Q481">_xlfn.XLOOKUP(C481, X$2:X$7, AG$2:AI$7)</f>
        <v>56.4</v>
      </c>
      <c r="P481">
        <v>-0.16300000000000001</v>
      </c>
      <c r="Q481">
        <v>0</v>
      </c>
      <c r="R481">
        <f t="shared" si="94"/>
        <v>2.2833891094192673E-3</v>
      </c>
      <c r="S481" s="4">
        <f t="shared" si="95"/>
        <v>1</v>
      </c>
      <c r="T481">
        <f t="shared" si="96"/>
        <v>-1</v>
      </c>
      <c r="U481">
        <f t="shared" si="97"/>
        <v>-1</v>
      </c>
    </row>
    <row r="482" spans="1:21">
      <c r="A482" t="s">
        <v>486</v>
      </c>
      <c r="B482" t="s">
        <v>58</v>
      </c>
      <c r="C482" t="s">
        <v>586</v>
      </c>
      <c r="D482" s="1">
        <v>107.9</v>
      </c>
      <c r="E482" s="1">
        <f t="shared" si="86"/>
        <v>73</v>
      </c>
      <c r="F482">
        <v>41.7</v>
      </c>
      <c r="G482" s="1">
        <v>79</v>
      </c>
      <c r="H482">
        <f t="shared" si="87"/>
        <v>-31.299999999999997</v>
      </c>
      <c r="I482">
        <f t="shared" si="88"/>
        <v>-1.8411764705882352</v>
      </c>
      <c r="J482">
        <f t="shared" si="89"/>
        <v>0</v>
      </c>
      <c r="K482">
        <f t="shared" si="90"/>
        <v>1.0011070456397422</v>
      </c>
      <c r="L482">
        <f t="shared" si="91"/>
        <v>0</v>
      </c>
      <c r="M482" s="4">
        <f t="shared" si="92"/>
        <v>0</v>
      </c>
      <c r="N482">
        <f t="shared" si="93"/>
        <v>0</v>
      </c>
      <c r="O482" cm="1">
        <f t="array" ref="O482:Q482">_xlfn.XLOOKUP(C482, X$2:X$7, AG$2:AI$7)</f>
        <v>5.0900000000000001E-2</v>
      </c>
      <c r="P482">
        <v>-3.9</v>
      </c>
      <c r="Q482">
        <v>73.900000000000006</v>
      </c>
      <c r="R482">
        <f t="shared" si="94"/>
        <v>97.405872300000041</v>
      </c>
      <c r="S482" s="4">
        <f t="shared" si="95"/>
        <v>1</v>
      </c>
      <c r="T482">
        <f t="shared" si="96"/>
        <v>-1</v>
      </c>
      <c r="U482">
        <f t="shared" si="97"/>
        <v>-1</v>
      </c>
    </row>
    <row r="483" spans="1:21">
      <c r="A483" t="s">
        <v>517</v>
      </c>
      <c r="B483" t="s">
        <v>58</v>
      </c>
      <c r="C483" t="s">
        <v>586</v>
      </c>
      <c r="D483" s="1">
        <v>107.9</v>
      </c>
      <c r="E483" s="1">
        <f t="shared" si="86"/>
        <v>73</v>
      </c>
      <c r="F483">
        <v>22.4</v>
      </c>
      <c r="G483" s="1">
        <v>111</v>
      </c>
      <c r="H483">
        <f t="shared" si="87"/>
        <v>-50.6</v>
      </c>
      <c r="I483">
        <f t="shared" si="88"/>
        <v>-2.9764705882352942</v>
      </c>
      <c r="J483">
        <f t="shared" si="89"/>
        <v>0</v>
      </c>
      <c r="K483">
        <f t="shared" si="90"/>
        <v>1.0011070456397422</v>
      </c>
      <c r="L483">
        <f t="shared" si="91"/>
        <v>0</v>
      </c>
      <c r="M483" s="4">
        <f t="shared" si="92"/>
        <v>0</v>
      </c>
      <c r="N483">
        <f t="shared" si="93"/>
        <v>0</v>
      </c>
      <c r="O483" cm="1">
        <f t="array" ref="O483:Q483">_xlfn.XLOOKUP(C483, X$2:X$7, AG$2:AI$7)</f>
        <v>5.0900000000000001E-2</v>
      </c>
      <c r="P483">
        <v>-3.9</v>
      </c>
      <c r="Q483">
        <v>73.900000000000006</v>
      </c>
      <c r="R483">
        <f t="shared" si="94"/>
        <v>312.91809630000006</v>
      </c>
      <c r="S483" s="4">
        <f t="shared" si="95"/>
        <v>1</v>
      </c>
      <c r="T483">
        <f t="shared" si="96"/>
        <v>-1</v>
      </c>
      <c r="U483">
        <f t="shared" si="97"/>
        <v>-1</v>
      </c>
    </row>
    <row r="484" spans="1:21">
      <c r="A484" t="s">
        <v>529</v>
      </c>
      <c r="B484" t="s">
        <v>58</v>
      </c>
      <c r="C484" t="s">
        <v>586</v>
      </c>
      <c r="D484" s="1">
        <v>107.9</v>
      </c>
      <c r="E484" s="1">
        <f t="shared" si="86"/>
        <v>73</v>
      </c>
      <c r="F484">
        <v>18</v>
      </c>
      <c r="G484" s="1">
        <v>123</v>
      </c>
      <c r="H484">
        <f t="shared" si="87"/>
        <v>-55</v>
      </c>
      <c r="I484">
        <f t="shared" si="88"/>
        <v>-3.2352941176470589</v>
      </c>
      <c r="J484">
        <f t="shared" si="89"/>
        <v>0</v>
      </c>
      <c r="K484">
        <f t="shared" si="90"/>
        <v>1.0011070456397422</v>
      </c>
      <c r="L484">
        <f t="shared" si="91"/>
        <v>0</v>
      </c>
      <c r="M484" s="4">
        <f t="shared" si="92"/>
        <v>0</v>
      </c>
      <c r="N484">
        <f t="shared" si="93"/>
        <v>0</v>
      </c>
      <c r="O484" cm="1">
        <f t="array" ref="O484:Q484">_xlfn.XLOOKUP(C484, X$2:X$7, AG$2:AI$7)</f>
        <v>5.0900000000000001E-2</v>
      </c>
      <c r="P484">
        <v>-3.9</v>
      </c>
      <c r="Q484">
        <v>73.900000000000006</v>
      </c>
      <c r="R484">
        <f t="shared" si="94"/>
        <v>425.09853870000006</v>
      </c>
      <c r="S484" s="4">
        <f t="shared" si="95"/>
        <v>1</v>
      </c>
      <c r="T484">
        <f t="shared" si="96"/>
        <v>-1</v>
      </c>
      <c r="U484">
        <f t="shared" si="97"/>
        <v>-1</v>
      </c>
    </row>
    <row r="485" spans="1:21">
      <c r="A485" t="s">
        <v>553</v>
      </c>
      <c r="B485" t="s">
        <v>58</v>
      </c>
      <c r="C485" t="s">
        <v>586</v>
      </c>
      <c r="D485" s="1">
        <v>107.9</v>
      </c>
      <c r="E485" s="1">
        <f t="shared" si="86"/>
        <v>73</v>
      </c>
      <c r="F485">
        <v>9.4</v>
      </c>
      <c r="G485" s="1">
        <v>148</v>
      </c>
      <c r="H485">
        <f t="shared" si="87"/>
        <v>-63.6</v>
      </c>
      <c r="I485">
        <f t="shared" si="88"/>
        <v>-3.7411764705882353</v>
      </c>
      <c r="J485">
        <f t="shared" si="89"/>
        <v>0</v>
      </c>
      <c r="K485">
        <f t="shared" si="90"/>
        <v>1.0011070456397422</v>
      </c>
      <c r="L485">
        <f t="shared" si="91"/>
        <v>0</v>
      </c>
      <c r="M485" s="4">
        <f t="shared" si="92"/>
        <v>0</v>
      </c>
      <c r="N485">
        <f t="shared" si="93"/>
        <v>0</v>
      </c>
      <c r="O485" cm="1">
        <f t="array" ref="O485:Q485">_xlfn.XLOOKUP(C485, X$2:X$7, AG$2:AI$7)</f>
        <v>5.0900000000000001E-2</v>
      </c>
      <c r="P485">
        <v>-3.9</v>
      </c>
      <c r="Q485">
        <v>73.900000000000006</v>
      </c>
      <c r="R485">
        <f t="shared" si="94"/>
        <v>713.75307120000014</v>
      </c>
      <c r="S485" s="4">
        <f t="shared" si="95"/>
        <v>1</v>
      </c>
      <c r="T485">
        <f t="shared" si="96"/>
        <v>-1</v>
      </c>
      <c r="U485">
        <f t="shared" si="97"/>
        <v>-1</v>
      </c>
    </row>
    <row r="486" spans="1:21">
      <c r="A486" t="s">
        <v>635</v>
      </c>
      <c r="B486" t="s">
        <v>58</v>
      </c>
      <c r="C486" t="s">
        <v>729</v>
      </c>
      <c r="D486" s="1">
        <v>99</v>
      </c>
      <c r="E486" s="1">
        <f t="shared" si="86"/>
        <v>82.5</v>
      </c>
      <c r="F486">
        <v>36.6</v>
      </c>
      <c r="G486" s="1">
        <v>49</v>
      </c>
      <c r="H486">
        <f t="shared" si="87"/>
        <v>-45.9</v>
      </c>
      <c r="I486">
        <f t="shared" si="88"/>
        <v>-2.6999999999999997</v>
      </c>
      <c r="J486">
        <f t="shared" si="89"/>
        <v>0</v>
      </c>
      <c r="K486">
        <f t="shared" si="90"/>
        <v>1.0909252297006058</v>
      </c>
      <c r="L486">
        <f t="shared" si="91"/>
        <v>0</v>
      </c>
      <c r="M486" s="4">
        <f t="shared" si="92"/>
        <v>0</v>
      </c>
      <c r="N486">
        <f t="shared" si="93"/>
        <v>0</v>
      </c>
      <c r="O486" cm="1">
        <f t="array" ref="O486:Q486">_xlfn.XLOOKUP(C486, X$2:X$7, AG$2:AI$7)</f>
        <v>55.4</v>
      </c>
      <c r="P486">
        <v>-0.253</v>
      </c>
      <c r="Q486">
        <v>0</v>
      </c>
      <c r="R486">
        <f t="shared" si="94"/>
        <v>2.6707419535497591E-4</v>
      </c>
      <c r="S486" s="4">
        <f t="shared" si="95"/>
        <v>1</v>
      </c>
      <c r="T486">
        <f t="shared" si="96"/>
        <v>-1</v>
      </c>
      <c r="U486">
        <f t="shared" si="97"/>
        <v>-1</v>
      </c>
    </row>
    <row r="487" spans="1:21">
      <c r="A487" t="s">
        <v>691</v>
      </c>
      <c r="B487" t="s">
        <v>58</v>
      </c>
      <c r="C487" t="s">
        <v>729</v>
      </c>
      <c r="D487" s="1">
        <v>99</v>
      </c>
      <c r="E487" s="1">
        <f t="shared" si="86"/>
        <v>82.5</v>
      </c>
      <c r="F487">
        <v>12.8</v>
      </c>
      <c r="G487" s="1">
        <v>106</v>
      </c>
      <c r="H487">
        <f t="shared" si="87"/>
        <v>-69.7</v>
      </c>
      <c r="I487">
        <f t="shared" si="88"/>
        <v>-4.1000000000000005</v>
      </c>
      <c r="J487">
        <f t="shared" si="89"/>
        <v>0</v>
      </c>
      <c r="K487">
        <f t="shared" si="90"/>
        <v>1.0909252297006058</v>
      </c>
      <c r="L487">
        <f t="shared" si="91"/>
        <v>0</v>
      </c>
      <c r="M487" s="4">
        <f t="shared" si="92"/>
        <v>0</v>
      </c>
      <c r="N487">
        <f t="shared" si="93"/>
        <v>0</v>
      </c>
      <c r="O487" cm="1">
        <f t="array" ref="O487:Q487">_xlfn.XLOOKUP(C487, X$2:X$7, AG$2:AI$7)</f>
        <v>55.4</v>
      </c>
      <c r="P487">
        <v>-0.253</v>
      </c>
      <c r="Q487">
        <v>0</v>
      </c>
      <c r="R487">
        <f t="shared" si="94"/>
        <v>1.4577102416908203E-10</v>
      </c>
      <c r="S487" s="4">
        <f t="shared" si="95"/>
        <v>1</v>
      </c>
      <c r="T487">
        <f t="shared" si="96"/>
        <v>-1</v>
      </c>
      <c r="U487">
        <f t="shared" si="97"/>
        <v>-1</v>
      </c>
    </row>
    <row r="488" spans="1:21">
      <c r="A488" t="s">
        <v>284</v>
      </c>
      <c r="B488" t="s">
        <v>58</v>
      </c>
      <c r="C488" t="s">
        <v>407</v>
      </c>
      <c r="D488" s="1">
        <v>116.9</v>
      </c>
      <c r="E488" s="1">
        <f t="shared" si="86"/>
        <v>93.4</v>
      </c>
      <c r="F488">
        <v>34.1</v>
      </c>
      <c r="G488" s="1">
        <v>125</v>
      </c>
      <c r="H488">
        <f t="shared" si="87"/>
        <v>-59.300000000000004</v>
      </c>
      <c r="I488">
        <f t="shared" si="88"/>
        <v>-3.4882352941176471</v>
      </c>
      <c r="J488">
        <f t="shared" si="89"/>
        <v>0</v>
      </c>
      <c r="K488">
        <f t="shared" si="90"/>
        <v>0.94226603101549489</v>
      </c>
      <c r="L488">
        <f t="shared" si="91"/>
        <v>0</v>
      </c>
      <c r="M488" s="4">
        <f t="shared" si="92"/>
        <v>0</v>
      </c>
      <c r="N488">
        <f t="shared" si="93"/>
        <v>0</v>
      </c>
      <c r="O488" cm="1">
        <f t="array" ref="O488:Q488">_xlfn.XLOOKUP(C488, X$2:X$7, AG$2:AI$7)</f>
        <v>57.8</v>
      </c>
      <c r="P488">
        <v>-6.4299999999999996E-2</v>
      </c>
      <c r="Q488">
        <v>0</v>
      </c>
      <c r="R488">
        <f t="shared" si="94"/>
        <v>2.1794996126473773E-2</v>
      </c>
      <c r="S488" s="4">
        <f t="shared" si="95"/>
        <v>1</v>
      </c>
      <c r="T488">
        <f t="shared" si="96"/>
        <v>-1</v>
      </c>
      <c r="U488">
        <f t="shared" si="97"/>
        <v>-1</v>
      </c>
    </row>
    <row r="489" spans="1:21">
      <c r="A489" t="s">
        <v>302</v>
      </c>
      <c r="B489" t="s">
        <v>58</v>
      </c>
      <c r="C489" t="s">
        <v>407</v>
      </c>
      <c r="D489" s="1">
        <v>116.9</v>
      </c>
      <c r="E489" s="1">
        <f t="shared" si="86"/>
        <v>93.4</v>
      </c>
      <c r="F489">
        <v>24.8</v>
      </c>
      <c r="G489" s="1">
        <v>143</v>
      </c>
      <c r="H489">
        <f t="shared" si="87"/>
        <v>-68.600000000000009</v>
      </c>
      <c r="I489">
        <f t="shared" si="88"/>
        <v>-4.0352941176470596</v>
      </c>
      <c r="J489">
        <f t="shared" si="89"/>
        <v>0</v>
      </c>
      <c r="K489">
        <f t="shared" si="90"/>
        <v>0.94226603101549489</v>
      </c>
      <c r="L489">
        <f t="shared" si="91"/>
        <v>0</v>
      </c>
      <c r="M489" s="4">
        <f t="shared" si="92"/>
        <v>0</v>
      </c>
      <c r="N489">
        <f t="shared" si="93"/>
        <v>0</v>
      </c>
      <c r="O489" cm="1">
        <f t="array" ref="O489:Q489">_xlfn.XLOOKUP(C489, X$2:X$7, AG$2:AI$7)</f>
        <v>57.8</v>
      </c>
      <c r="P489">
        <v>-6.4299999999999996E-2</v>
      </c>
      <c r="Q489">
        <v>0</v>
      </c>
      <c r="R489">
        <f t="shared" si="94"/>
        <v>6.8502175299355612E-3</v>
      </c>
      <c r="S489" s="4">
        <f t="shared" si="95"/>
        <v>1</v>
      </c>
      <c r="T489">
        <f t="shared" si="96"/>
        <v>-1</v>
      </c>
      <c r="U489">
        <f t="shared" si="97"/>
        <v>-1</v>
      </c>
    </row>
    <row r="490" spans="1:21">
      <c r="A490" t="s">
        <v>345</v>
      </c>
      <c r="B490" t="s">
        <v>58</v>
      </c>
      <c r="C490" t="s">
        <v>407</v>
      </c>
      <c r="D490" s="1">
        <v>116.9</v>
      </c>
      <c r="E490" s="1">
        <f t="shared" si="86"/>
        <v>93.4</v>
      </c>
      <c r="F490">
        <v>9.8000000000000007</v>
      </c>
      <c r="G490" s="1">
        <v>186</v>
      </c>
      <c r="H490">
        <f t="shared" si="87"/>
        <v>-83.600000000000009</v>
      </c>
      <c r="I490">
        <f t="shared" si="88"/>
        <v>-4.9176470588235297</v>
      </c>
      <c r="J490">
        <f t="shared" si="89"/>
        <v>0</v>
      </c>
      <c r="K490">
        <f t="shared" si="90"/>
        <v>0.94226603101549489</v>
      </c>
      <c r="L490">
        <f t="shared" si="91"/>
        <v>0</v>
      </c>
      <c r="M490" s="4">
        <f t="shared" si="92"/>
        <v>0</v>
      </c>
      <c r="N490">
        <f t="shared" si="93"/>
        <v>0</v>
      </c>
      <c r="O490" cm="1">
        <f t="array" ref="O490:Q490">_xlfn.XLOOKUP(C490, X$2:X$7, AG$2:AI$7)</f>
        <v>57.8</v>
      </c>
      <c r="P490">
        <v>-6.4299999999999996E-2</v>
      </c>
      <c r="Q490">
        <v>0</v>
      </c>
      <c r="R490">
        <f t="shared" si="94"/>
        <v>4.3144312187577992E-4</v>
      </c>
      <c r="S490" s="4">
        <f t="shared" si="95"/>
        <v>1</v>
      </c>
      <c r="T490">
        <f t="shared" si="96"/>
        <v>-1</v>
      </c>
      <c r="U490">
        <f t="shared" si="97"/>
        <v>-1</v>
      </c>
    </row>
    <row r="491" spans="1:21">
      <c r="A491" t="s">
        <v>348</v>
      </c>
      <c r="B491" t="s">
        <v>58</v>
      </c>
      <c r="C491" t="s">
        <v>407</v>
      </c>
      <c r="D491" s="1">
        <v>116.9</v>
      </c>
      <c r="E491" s="1">
        <f t="shared" si="86"/>
        <v>93.4</v>
      </c>
      <c r="F491">
        <v>8.5</v>
      </c>
      <c r="G491" s="1">
        <v>189</v>
      </c>
      <c r="H491">
        <f t="shared" si="87"/>
        <v>-84.9</v>
      </c>
      <c r="I491">
        <f t="shared" si="88"/>
        <v>-4.9941176470588236</v>
      </c>
      <c r="J491">
        <f t="shared" si="89"/>
        <v>0</v>
      </c>
      <c r="K491">
        <f t="shared" si="90"/>
        <v>0.94226603101549489</v>
      </c>
      <c r="L491">
        <f t="shared" si="91"/>
        <v>0</v>
      </c>
      <c r="M491" s="4">
        <f t="shared" si="92"/>
        <v>0</v>
      </c>
      <c r="N491">
        <f t="shared" si="93"/>
        <v>0</v>
      </c>
      <c r="O491" cm="1">
        <f t="array" ref="O491:Q491">_xlfn.XLOOKUP(C491, X$2:X$7, AG$2:AI$7)</f>
        <v>57.8</v>
      </c>
      <c r="P491">
        <v>-6.4299999999999996E-2</v>
      </c>
      <c r="Q491">
        <v>0</v>
      </c>
      <c r="R491">
        <f t="shared" si="94"/>
        <v>3.5575265033921291E-4</v>
      </c>
      <c r="S491" s="4">
        <f t="shared" si="95"/>
        <v>1</v>
      </c>
      <c r="T491">
        <f t="shared" si="96"/>
        <v>-1</v>
      </c>
      <c r="U491">
        <f t="shared" si="97"/>
        <v>-1</v>
      </c>
    </row>
    <row r="492" spans="1:21">
      <c r="A492" t="s">
        <v>360</v>
      </c>
      <c r="B492" t="s">
        <v>58</v>
      </c>
      <c r="C492" t="s">
        <v>407</v>
      </c>
      <c r="D492" s="1">
        <v>116.9</v>
      </c>
      <c r="E492" s="1">
        <f t="shared" si="86"/>
        <v>93.4</v>
      </c>
      <c r="F492">
        <v>8.1</v>
      </c>
      <c r="G492" s="1">
        <v>201</v>
      </c>
      <c r="H492">
        <f t="shared" si="87"/>
        <v>-85.300000000000011</v>
      </c>
      <c r="I492">
        <f t="shared" si="88"/>
        <v>-5.0176470588235302</v>
      </c>
      <c r="J492">
        <f t="shared" si="89"/>
        <v>0</v>
      </c>
      <c r="K492">
        <f t="shared" si="90"/>
        <v>0.94226603101549489</v>
      </c>
      <c r="L492">
        <f t="shared" si="91"/>
        <v>0</v>
      </c>
      <c r="M492" s="4">
        <f t="shared" si="92"/>
        <v>0</v>
      </c>
      <c r="N492">
        <f t="shared" si="93"/>
        <v>0</v>
      </c>
      <c r="O492" cm="1">
        <f t="array" ref="O492:Q492">_xlfn.XLOOKUP(C492, X$2:X$7, AG$2:AI$7)</f>
        <v>57.8</v>
      </c>
      <c r="P492">
        <v>-6.4299999999999996E-2</v>
      </c>
      <c r="Q492">
        <v>0</v>
      </c>
      <c r="R492">
        <f t="shared" si="94"/>
        <v>1.6445478791829996E-4</v>
      </c>
      <c r="S492" s="4">
        <f t="shared" si="95"/>
        <v>1</v>
      </c>
      <c r="T492">
        <f t="shared" si="96"/>
        <v>-1</v>
      </c>
      <c r="U492">
        <f t="shared" si="97"/>
        <v>-1</v>
      </c>
    </row>
    <row r="493" spans="1:21">
      <c r="A493" t="s">
        <v>362</v>
      </c>
      <c r="B493" t="s">
        <v>58</v>
      </c>
      <c r="C493" t="s">
        <v>407</v>
      </c>
      <c r="D493" s="1">
        <v>116.9</v>
      </c>
      <c r="E493" s="1">
        <f t="shared" si="86"/>
        <v>93.4</v>
      </c>
      <c r="F493">
        <v>8</v>
      </c>
      <c r="G493" s="1">
        <v>203</v>
      </c>
      <c r="H493">
        <f t="shared" si="87"/>
        <v>-85.4</v>
      </c>
      <c r="I493">
        <f t="shared" si="88"/>
        <v>-5.0235294117647058</v>
      </c>
      <c r="J493">
        <f t="shared" si="89"/>
        <v>0</v>
      </c>
      <c r="K493">
        <f t="shared" si="90"/>
        <v>0.94226603101549489</v>
      </c>
      <c r="L493">
        <f t="shared" si="91"/>
        <v>0</v>
      </c>
      <c r="M493" s="4">
        <f t="shared" si="92"/>
        <v>0</v>
      </c>
      <c r="N493">
        <f t="shared" si="93"/>
        <v>0</v>
      </c>
      <c r="O493" cm="1">
        <f t="array" ref="O493:Q493">_xlfn.XLOOKUP(C493, X$2:X$7, AG$2:AI$7)</f>
        <v>57.8</v>
      </c>
      <c r="P493">
        <v>-6.4299999999999996E-2</v>
      </c>
      <c r="Q493">
        <v>0</v>
      </c>
      <c r="R493">
        <f t="shared" si="94"/>
        <v>1.4460930924600193E-4</v>
      </c>
      <c r="S493" s="4">
        <f t="shared" si="95"/>
        <v>1</v>
      </c>
      <c r="T493">
        <f t="shared" si="96"/>
        <v>-1</v>
      </c>
      <c r="U493">
        <f t="shared" si="97"/>
        <v>-1</v>
      </c>
    </row>
    <row r="494" spans="1:21">
      <c r="A494" t="s">
        <v>127</v>
      </c>
      <c r="B494" t="s">
        <v>40</v>
      </c>
      <c r="C494" t="s">
        <v>159</v>
      </c>
      <c r="D494" s="1">
        <v>228</v>
      </c>
      <c r="E494" s="1">
        <f t="shared" si="86"/>
        <v>190</v>
      </c>
      <c r="F494">
        <v>19.3</v>
      </c>
      <c r="G494" s="1">
        <v>57</v>
      </c>
      <c r="H494">
        <f t="shared" si="87"/>
        <v>-170.7</v>
      </c>
      <c r="I494">
        <f t="shared" si="88"/>
        <v>-10.041176470588235</v>
      </c>
      <c r="J494">
        <f t="shared" si="89"/>
        <v>0</v>
      </c>
      <c r="K494">
        <f t="shared" si="90"/>
        <v>0.57566309754037293</v>
      </c>
      <c r="L494">
        <f t="shared" si="91"/>
        <v>0</v>
      </c>
      <c r="M494" s="4">
        <f t="shared" si="92"/>
        <v>0</v>
      </c>
      <c r="N494">
        <f t="shared" si="93"/>
        <v>0</v>
      </c>
      <c r="O494" cm="1">
        <f t="array" ref="O494:Q494">_xlfn.XLOOKUP(C494, X$2:X$7, AG$2:AI$7)</f>
        <v>56.4</v>
      </c>
      <c r="P494">
        <v>-0.16300000000000001</v>
      </c>
      <c r="Q494">
        <v>0</v>
      </c>
      <c r="R494">
        <f t="shared" si="94"/>
        <v>6.0718345444879243E-3</v>
      </c>
      <c r="S494" s="4">
        <f t="shared" si="95"/>
        <v>1</v>
      </c>
      <c r="T494">
        <f t="shared" si="96"/>
        <v>-1</v>
      </c>
      <c r="U494">
        <f t="shared" si="97"/>
        <v>-1</v>
      </c>
    </row>
    <row r="495" spans="1:21">
      <c r="A495" t="s">
        <v>154</v>
      </c>
      <c r="B495" t="s">
        <v>40</v>
      </c>
      <c r="C495" t="s">
        <v>159</v>
      </c>
      <c r="D495" s="1">
        <v>228</v>
      </c>
      <c r="E495" s="1">
        <f t="shared" si="86"/>
        <v>190</v>
      </c>
      <c r="F495">
        <v>1.7</v>
      </c>
      <c r="G495" s="1">
        <v>84</v>
      </c>
      <c r="H495">
        <f t="shared" si="87"/>
        <v>-188.3</v>
      </c>
      <c r="I495">
        <f t="shared" si="88"/>
        <v>-11.076470588235296</v>
      </c>
      <c r="J495">
        <f t="shared" si="89"/>
        <v>0</v>
      </c>
      <c r="K495">
        <f t="shared" si="90"/>
        <v>0.57566309754037293</v>
      </c>
      <c r="L495">
        <f t="shared" si="91"/>
        <v>0</v>
      </c>
      <c r="M495" s="4">
        <f t="shared" si="92"/>
        <v>0</v>
      </c>
      <c r="N495">
        <f t="shared" si="93"/>
        <v>0</v>
      </c>
      <c r="O495" cm="1">
        <f t="array" ref="O495:Q495">_xlfn.XLOOKUP(C495, X$2:X$7, AG$2:AI$7)</f>
        <v>56.4</v>
      </c>
      <c r="P495">
        <v>-0.16300000000000001</v>
      </c>
      <c r="Q495">
        <v>0</v>
      </c>
      <c r="R495">
        <f t="shared" si="94"/>
        <v>7.4471467821900182E-5</v>
      </c>
      <c r="S495" s="4">
        <f t="shared" si="95"/>
        <v>1</v>
      </c>
      <c r="T495">
        <f t="shared" si="96"/>
        <v>-1</v>
      </c>
      <c r="U495">
        <f t="shared" si="97"/>
        <v>-1</v>
      </c>
    </row>
    <row r="496" spans="1:21">
      <c r="A496" t="s">
        <v>468</v>
      </c>
      <c r="B496" t="s">
        <v>40</v>
      </c>
      <c r="C496" t="s">
        <v>586</v>
      </c>
      <c r="D496" s="1">
        <v>107.9</v>
      </c>
      <c r="E496" s="1">
        <f t="shared" si="86"/>
        <v>73</v>
      </c>
      <c r="F496">
        <v>67.5</v>
      </c>
      <c r="G496" s="1">
        <v>61</v>
      </c>
      <c r="H496">
        <f t="shared" si="87"/>
        <v>-5.5</v>
      </c>
      <c r="I496">
        <f t="shared" si="88"/>
        <v>-0.3235294117647059</v>
      </c>
      <c r="J496">
        <f t="shared" si="89"/>
        <v>0</v>
      </c>
      <c r="K496">
        <f t="shared" si="90"/>
        <v>1.0011070456397422</v>
      </c>
      <c r="L496">
        <f t="shared" si="91"/>
        <v>0</v>
      </c>
      <c r="M496" s="4">
        <f t="shared" si="92"/>
        <v>0</v>
      </c>
      <c r="N496">
        <f t="shared" si="93"/>
        <v>0</v>
      </c>
      <c r="O496" cm="1">
        <f t="array" ref="O496:Q496">_xlfn.XLOOKUP(C496, X$2:X$7, AG$2:AI$7)</f>
        <v>5.0900000000000001E-2</v>
      </c>
      <c r="P496">
        <v>-3.9</v>
      </c>
      <c r="Q496">
        <v>73.900000000000006</v>
      </c>
      <c r="R496">
        <f t="shared" si="94"/>
        <v>29.640516299999998</v>
      </c>
      <c r="S496" s="4">
        <f t="shared" si="95"/>
        <v>1</v>
      </c>
      <c r="T496">
        <f t="shared" si="96"/>
        <v>-1</v>
      </c>
      <c r="U496">
        <f t="shared" si="97"/>
        <v>-1</v>
      </c>
    </row>
    <row r="497" spans="1:21">
      <c r="A497" t="s">
        <v>516</v>
      </c>
      <c r="B497" t="s">
        <v>40</v>
      </c>
      <c r="C497" t="s">
        <v>586</v>
      </c>
      <c r="D497" s="1">
        <v>107.9</v>
      </c>
      <c r="E497" s="1">
        <f t="shared" si="86"/>
        <v>73</v>
      </c>
      <c r="F497">
        <v>22.7</v>
      </c>
      <c r="G497" s="1">
        <v>109</v>
      </c>
      <c r="H497">
        <f t="shared" si="87"/>
        <v>-50.3</v>
      </c>
      <c r="I497">
        <f t="shared" si="88"/>
        <v>-2.9588235294117644</v>
      </c>
      <c r="J497">
        <f t="shared" si="89"/>
        <v>0</v>
      </c>
      <c r="K497">
        <f t="shared" si="90"/>
        <v>1.0011070456397422</v>
      </c>
      <c r="L497">
        <f t="shared" si="91"/>
        <v>0</v>
      </c>
      <c r="M497" s="4">
        <f t="shared" si="92"/>
        <v>0</v>
      </c>
      <c r="N497">
        <f t="shared" si="93"/>
        <v>0</v>
      </c>
      <c r="O497" cm="1">
        <f t="array" ref="O497:Q497">_xlfn.XLOOKUP(C497, X$2:X$7, AG$2:AI$7)</f>
        <v>5.0900000000000001E-2</v>
      </c>
      <c r="P497">
        <v>-3.9</v>
      </c>
      <c r="Q497">
        <v>73.900000000000006</v>
      </c>
      <c r="R497">
        <f t="shared" si="94"/>
        <v>295.88456430000002</v>
      </c>
      <c r="S497" s="4">
        <f t="shared" si="95"/>
        <v>1</v>
      </c>
      <c r="T497">
        <f t="shared" si="96"/>
        <v>-1</v>
      </c>
      <c r="U497">
        <f t="shared" si="97"/>
        <v>-1</v>
      </c>
    </row>
    <row r="498" spans="1:21">
      <c r="A498" t="s">
        <v>549</v>
      </c>
      <c r="B498" t="s">
        <v>40</v>
      </c>
      <c r="C498" t="s">
        <v>586</v>
      </c>
      <c r="D498" s="1">
        <v>107.9</v>
      </c>
      <c r="E498" s="1">
        <f t="shared" si="86"/>
        <v>73</v>
      </c>
      <c r="F498">
        <v>10.9</v>
      </c>
      <c r="G498" s="1">
        <v>144</v>
      </c>
      <c r="H498">
        <f t="shared" si="87"/>
        <v>-62.1</v>
      </c>
      <c r="I498">
        <f t="shared" si="88"/>
        <v>-3.6529411764705881</v>
      </c>
      <c r="J498">
        <f t="shared" si="89"/>
        <v>0</v>
      </c>
      <c r="K498">
        <f t="shared" si="90"/>
        <v>1.0011070456397422</v>
      </c>
      <c r="L498">
        <f t="shared" si="91"/>
        <v>0</v>
      </c>
      <c r="M498" s="4">
        <f t="shared" si="92"/>
        <v>0</v>
      </c>
      <c r="N498">
        <f t="shared" si="93"/>
        <v>0</v>
      </c>
      <c r="O498" cm="1">
        <f t="array" ref="O498:Q498">_xlfn.XLOOKUP(C498, X$2:X$7, AG$2:AI$7)</f>
        <v>5.0900000000000001E-2</v>
      </c>
      <c r="P498">
        <v>-3.9</v>
      </c>
      <c r="Q498">
        <v>73.900000000000006</v>
      </c>
      <c r="R498">
        <f t="shared" si="94"/>
        <v>662.57872080000016</v>
      </c>
      <c r="S498" s="4">
        <f t="shared" si="95"/>
        <v>1</v>
      </c>
      <c r="T498">
        <f t="shared" si="96"/>
        <v>-1</v>
      </c>
      <c r="U498">
        <f t="shared" si="97"/>
        <v>-1</v>
      </c>
    </row>
    <row r="499" spans="1:21">
      <c r="A499" t="s">
        <v>624</v>
      </c>
      <c r="B499" t="s">
        <v>40</v>
      </c>
      <c r="C499" t="s">
        <v>729</v>
      </c>
      <c r="D499" s="1">
        <v>99</v>
      </c>
      <c r="E499" s="1">
        <f t="shared" si="86"/>
        <v>82.5</v>
      </c>
      <c r="F499">
        <v>44.1</v>
      </c>
      <c r="G499" s="1">
        <v>38</v>
      </c>
      <c r="H499">
        <f t="shared" si="87"/>
        <v>-38.4</v>
      </c>
      <c r="I499">
        <f t="shared" si="88"/>
        <v>-2.2588235294117647</v>
      </c>
      <c r="J499">
        <f t="shared" si="89"/>
        <v>0</v>
      </c>
      <c r="K499">
        <f t="shared" si="90"/>
        <v>1.0909252297006058</v>
      </c>
      <c r="L499">
        <f t="shared" si="91"/>
        <v>0</v>
      </c>
      <c r="M499" s="4">
        <f t="shared" si="92"/>
        <v>0</v>
      </c>
      <c r="N499">
        <f t="shared" si="93"/>
        <v>0</v>
      </c>
      <c r="O499" cm="1">
        <f t="array" ref="O499:Q499">_xlfn.XLOOKUP(C499, X$2:X$7, AG$2:AI$7)</f>
        <v>55.4</v>
      </c>
      <c r="P499">
        <v>-0.253</v>
      </c>
      <c r="Q499">
        <v>0</v>
      </c>
      <c r="R499">
        <f t="shared" si="94"/>
        <v>4.3179088650256671E-3</v>
      </c>
      <c r="S499" s="4">
        <f t="shared" si="95"/>
        <v>1</v>
      </c>
      <c r="T499">
        <f t="shared" si="96"/>
        <v>-1</v>
      </c>
      <c r="U499">
        <f t="shared" si="97"/>
        <v>-1</v>
      </c>
    </row>
    <row r="500" spans="1:21">
      <c r="A500" t="s">
        <v>657</v>
      </c>
      <c r="B500" t="s">
        <v>40</v>
      </c>
      <c r="C500" t="s">
        <v>729</v>
      </c>
      <c r="D500" s="1">
        <v>99</v>
      </c>
      <c r="E500" s="1">
        <f t="shared" si="86"/>
        <v>82.5</v>
      </c>
      <c r="F500">
        <v>23.4</v>
      </c>
      <c r="G500" s="1">
        <v>71</v>
      </c>
      <c r="H500">
        <f t="shared" si="87"/>
        <v>-59.1</v>
      </c>
      <c r="I500">
        <f t="shared" si="88"/>
        <v>-3.4764705882352942</v>
      </c>
      <c r="J500">
        <f t="shared" si="89"/>
        <v>0</v>
      </c>
      <c r="K500">
        <f t="shared" si="90"/>
        <v>1.0909252297006058</v>
      </c>
      <c r="L500">
        <f t="shared" si="91"/>
        <v>0</v>
      </c>
      <c r="M500" s="4">
        <f t="shared" si="92"/>
        <v>0</v>
      </c>
      <c r="N500">
        <f t="shared" si="93"/>
        <v>0</v>
      </c>
      <c r="O500" cm="1">
        <f t="array" ref="O500:Q500">_xlfn.XLOOKUP(C500, X$2:X$7, AG$2:AI$7)</f>
        <v>55.4</v>
      </c>
      <c r="P500">
        <v>-0.253</v>
      </c>
      <c r="Q500">
        <v>0</v>
      </c>
      <c r="R500">
        <f t="shared" si="94"/>
        <v>1.0217598717462916E-6</v>
      </c>
      <c r="S500" s="4">
        <f t="shared" si="95"/>
        <v>1</v>
      </c>
      <c r="T500">
        <f t="shared" si="96"/>
        <v>-1</v>
      </c>
      <c r="U500">
        <f t="shared" si="97"/>
        <v>-1</v>
      </c>
    </row>
    <row r="501" spans="1:21">
      <c r="A501" t="s">
        <v>684</v>
      </c>
      <c r="B501" t="s">
        <v>40</v>
      </c>
      <c r="C501" t="s">
        <v>729</v>
      </c>
      <c r="D501" s="1">
        <v>99</v>
      </c>
      <c r="E501" s="1">
        <f t="shared" si="86"/>
        <v>82.5</v>
      </c>
      <c r="F501">
        <v>14.5</v>
      </c>
      <c r="G501" s="1">
        <v>99</v>
      </c>
      <c r="H501">
        <f t="shared" si="87"/>
        <v>-68</v>
      </c>
      <c r="I501">
        <f t="shared" si="88"/>
        <v>-4</v>
      </c>
      <c r="J501">
        <f t="shared" si="89"/>
        <v>0</v>
      </c>
      <c r="K501">
        <f t="shared" si="90"/>
        <v>1.0909252297006058</v>
      </c>
      <c r="L501">
        <f t="shared" si="91"/>
        <v>0</v>
      </c>
      <c r="M501" s="4">
        <f t="shared" si="92"/>
        <v>0</v>
      </c>
      <c r="N501">
        <f t="shared" si="93"/>
        <v>0</v>
      </c>
      <c r="O501" cm="1">
        <f t="array" ref="O501:Q501">_xlfn.XLOOKUP(C501, X$2:X$7, AG$2:AI$7)</f>
        <v>55.4</v>
      </c>
      <c r="P501">
        <v>-0.253</v>
      </c>
      <c r="Q501">
        <v>0</v>
      </c>
      <c r="R501">
        <f t="shared" si="94"/>
        <v>8.566565355852982E-10</v>
      </c>
      <c r="S501" s="4">
        <f t="shared" si="95"/>
        <v>1</v>
      </c>
      <c r="T501">
        <f t="shared" si="96"/>
        <v>-1</v>
      </c>
      <c r="U501">
        <f t="shared" si="97"/>
        <v>-1</v>
      </c>
    </row>
    <row r="502" spans="1:21">
      <c r="A502" t="s">
        <v>726</v>
      </c>
      <c r="B502" t="s">
        <v>40</v>
      </c>
      <c r="C502" t="s">
        <v>729</v>
      </c>
      <c r="D502" s="1">
        <v>99</v>
      </c>
      <c r="E502" s="1">
        <f t="shared" si="86"/>
        <v>82.5</v>
      </c>
      <c r="F502">
        <v>0</v>
      </c>
      <c r="G502" s="1">
        <v>142</v>
      </c>
      <c r="H502">
        <f t="shared" si="87"/>
        <v>-82.5</v>
      </c>
      <c r="I502">
        <f t="shared" si="88"/>
        <v>-4.8529411764705879</v>
      </c>
      <c r="J502">
        <f t="shared" si="89"/>
        <v>0</v>
      </c>
      <c r="K502">
        <f t="shared" si="90"/>
        <v>1.0909252297006058</v>
      </c>
      <c r="L502">
        <f t="shared" si="91"/>
        <v>0</v>
      </c>
      <c r="M502" s="4">
        <f t="shared" si="92"/>
        <v>0</v>
      </c>
      <c r="N502">
        <f t="shared" si="93"/>
        <v>0</v>
      </c>
      <c r="O502" cm="1">
        <f t="array" ref="O502:Q502">_xlfn.XLOOKUP(C502, X$2:X$7, AG$2:AI$7)</f>
        <v>55.4</v>
      </c>
      <c r="P502">
        <v>-0.253</v>
      </c>
      <c r="Q502">
        <v>0</v>
      </c>
      <c r="R502">
        <f t="shared" si="94"/>
        <v>1.614793765233139E-14</v>
      </c>
      <c r="S502" s="4">
        <f t="shared" si="95"/>
        <v>1</v>
      </c>
      <c r="T502">
        <f t="shared" si="96"/>
        <v>-1</v>
      </c>
      <c r="U502">
        <f t="shared" si="97"/>
        <v>-1</v>
      </c>
    </row>
    <row r="503" spans="1:21">
      <c r="A503" t="s">
        <v>243</v>
      </c>
      <c r="B503" t="s">
        <v>40</v>
      </c>
      <c r="C503" t="s">
        <v>407</v>
      </c>
      <c r="D503" s="1">
        <v>116.9</v>
      </c>
      <c r="E503" s="1">
        <f t="shared" si="86"/>
        <v>93.4</v>
      </c>
      <c r="F503">
        <v>84.2</v>
      </c>
      <c r="G503" s="1">
        <v>84</v>
      </c>
      <c r="H503">
        <f t="shared" si="87"/>
        <v>-9.2000000000000028</v>
      </c>
      <c r="I503">
        <f t="shared" si="88"/>
        <v>-0.54117647058823548</v>
      </c>
      <c r="J503">
        <f t="shared" si="89"/>
        <v>0</v>
      </c>
      <c r="K503">
        <f t="shared" si="90"/>
        <v>0.94226603101549489</v>
      </c>
      <c r="L503">
        <f t="shared" si="91"/>
        <v>0</v>
      </c>
      <c r="M503" s="4">
        <f t="shared" si="92"/>
        <v>0</v>
      </c>
      <c r="N503">
        <f t="shared" si="93"/>
        <v>0</v>
      </c>
      <c r="O503" cm="1">
        <f t="array" ref="O503:Q503">_xlfn.XLOOKUP(C503, X$2:X$7, AG$2:AI$7)</f>
        <v>57.8</v>
      </c>
      <c r="P503">
        <v>-6.4299999999999996E-2</v>
      </c>
      <c r="Q503">
        <v>0</v>
      </c>
      <c r="R503">
        <f t="shared" si="94"/>
        <v>0.30428976080042541</v>
      </c>
      <c r="S503" s="4">
        <f t="shared" si="95"/>
        <v>1</v>
      </c>
      <c r="T503">
        <f t="shared" si="96"/>
        <v>-1</v>
      </c>
      <c r="U503">
        <f t="shared" si="97"/>
        <v>-1</v>
      </c>
    </row>
    <row r="504" spans="1:21">
      <c r="A504" t="s">
        <v>266</v>
      </c>
      <c r="B504" t="s">
        <v>40</v>
      </c>
      <c r="C504" t="s">
        <v>407</v>
      </c>
      <c r="D504" s="1">
        <v>116.9</v>
      </c>
      <c r="E504" s="1">
        <f t="shared" si="86"/>
        <v>93.4</v>
      </c>
      <c r="F504">
        <v>55.3</v>
      </c>
      <c r="G504" s="1">
        <v>107</v>
      </c>
      <c r="H504">
        <f t="shared" si="87"/>
        <v>-38.100000000000009</v>
      </c>
      <c r="I504">
        <f t="shared" si="88"/>
        <v>-2.2411764705882358</v>
      </c>
      <c r="J504">
        <f t="shared" si="89"/>
        <v>0</v>
      </c>
      <c r="K504">
        <f t="shared" si="90"/>
        <v>0.94226603101549489</v>
      </c>
      <c r="L504">
        <f t="shared" si="91"/>
        <v>0</v>
      </c>
      <c r="M504" s="4">
        <f t="shared" si="92"/>
        <v>0</v>
      </c>
      <c r="N504">
        <f t="shared" si="93"/>
        <v>0</v>
      </c>
      <c r="O504" cm="1">
        <f t="array" ref="O504:Q504">_xlfn.XLOOKUP(C504, X$2:X$7, AG$2:AI$7)</f>
        <v>57.8</v>
      </c>
      <c r="P504">
        <v>-6.4299999999999996E-2</v>
      </c>
      <c r="Q504">
        <v>0</v>
      </c>
      <c r="R504">
        <f t="shared" si="94"/>
        <v>6.9344054269394245E-2</v>
      </c>
      <c r="S504" s="4">
        <f t="shared" si="95"/>
        <v>1</v>
      </c>
      <c r="T504">
        <f t="shared" si="96"/>
        <v>-1</v>
      </c>
      <c r="U504">
        <f t="shared" si="97"/>
        <v>-1</v>
      </c>
    </row>
    <row r="505" spans="1:21">
      <c r="A505" t="s">
        <v>298</v>
      </c>
      <c r="B505" t="s">
        <v>40</v>
      </c>
      <c r="C505" t="s">
        <v>407</v>
      </c>
      <c r="D505" s="1">
        <v>116.9</v>
      </c>
      <c r="E505" s="1">
        <f t="shared" si="86"/>
        <v>93.4</v>
      </c>
      <c r="F505">
        <v>27.3</v>
      </c>
      <c r="G505" s="1">
        <v>139</v>
      </c>
      <c r="H505">
        <f t="shared" si="87"/>
        <v>-66.100000000000009</v>
      </c>
      <c r="I505">
        <f t="shared" si="88"/>
        <v>-3.8882352941176475</v>
      </c>
      <c r="J505">
        <f t="shared" si="89"/>
        <v>0</v>
      </c>
      <c r="K505">
        <f t="shared" si="90"/>
        <v>0.94226603101549489</v>
      </c>
      <c r="L505">
        <f t="shared" si="91"/>
        <v>0</v>
      </c>
      <c r="M505" s="4">
        <f t="shared" si="92"/>
        <v>0</v>
      </c>
      <c r="N505">
        <f t="shared" si="93"/>
        <v>0</v>
      </c>
      <c r="O505" cm="1">
        <f t="array" ref="O505:Q505">_xlfn.XLOOKUP(C505, X$2:X$7, AG$2:AI$7)</f>
        <v>57.8</v>
      </c>
      <c r="P505">
        <v>-6.4299999999999996E-2</v>
      </c>
      <c r="Q505">
        <v>0</v>
      </c>
      <c r="R505">
        <f t="shared" si="94"/>
        <v>8.8594120995681494E-3</v>
      </c>
      <c r="S505" s="4">
        <f t="shared" si="95"/>
        <v>1</v>
      </c>
      <c r="T505">
        <f t="shared" si="96"/>
        <v>-1</v>
      </c>
      <c r="U505">
        <f t="shared" si="97"/>
        <v>-1</v>
      </c>
    </row>
    <row r="506" spans="1:21">
      <c r="A506" t="s">
        <v>300</v>
      </c>
      <c r="B506" t="s">
        <v>40</v>
      </c>
      <c r="C506" t="s">
        <v>407</v>
      </c>
      <c r="D506" s="1">
        <v>116.9</v>
      </c>
      <c r="E506" s="1">
        <f t="shared" si="86"/>
        <v>93.4</v>
      </c>
      <c r="F506">
        <v>26.6</v>
      </c>
      <c r="G506" s="1">
        <v>141</v>
      </c>
      <c r="H506">
        <f t="shared" si="87"/>
        <v>-66.800000000000011</v>
      </c>
      <c r="I506">
        <f t="shared" si="88"/>
        <v>-3.929411764705883</v>
      </c>
      <c r="J506">
        <f t="shared" si="89"/>
        <v>0</v>
      </c>
      <c r="K506">
        <f t="shared" si="90"/>
        <v>0.94226603101549489</v>
      </c>
      <c r="L506">
        <f t="shared" si="91"/>
        <v>0</v>
      </c>
      <c r="M506" s="4">
        <f t="shared" si="92"/>
        <v>0</v>
      </c>
      <c r="N506">
        <f t="shared" si="93"/>
        <v>0</v>
      </c>
      <c r="O506" cm="1">
        <f t="array" ref="O506:Q506">_xlfn.XLOOKUP(C506, X$2:X$7, AG$2:AI$7)</f>
        <v>57.8</v>
      </c>
      <c r="P506">
        <v>-6.4299999999999996E-2</v>
      </c>
      <c r="Q506">
        <v>0</v>
      </c>
      <c r="R506">
        <f t="shared" si="94"/>
        <v>7.7903080856526362E-3</v>
      </c>
      <c r="S506" s="4">
        <f t="shared" si="95"/>
        <v>1</v>
      </c>
      <c r="T506">
        <f t="shared" si="96"/>
        <v>-1</v>
      </c>
      <c r="U506">
        <f t="shared" si="97"/>
        <v>-1</v>
      </c>
    </row>
    <row r="507" spans="1:21">
      <c r="A507" t="s">
        <v>134</v>
      </c>
      <c r="B507" t="s">
        <v>52</v>
      </c>
      <c r="C507" t="s">
        <v>159</v>
      </c>
      <c r="D507" s="1">
        <v>228</v>
      </c>
      <c r="E507" s="1">
        <f t="shared" si="86"/>
        <v>190</v>
      </c>
      <c r="F507">
        <v>17.7</v>
      </c>
      <c r="G507" s="1">
        <v>64</v>
      </c>
      <c r="H507">
        <f t="shared" si="87"/>
        <v>-172.3</v>
      </c>
      <c r="I507">
        <f t="shared" si="88"/>
        <v>-10.13529411764706</v>
      </c>
      <c r="J507">
        <f t="shared" si="89"/>
        <v>0</v>
      </c>
      <c r="K507">
        <f t="shared" si="90"/>
        <v>0.57566309754037293</v>
      </c>
      <c r="L507">
        <f t="shared" si="91"/>
        <v>0</v>
      </c>
      <c r="M507" s="4">
        <f t="shared" si="92"/>
        <v>0</v>
      </c>
      <c r="N507">
        <f t="shared" si="93"/>
        <v>0</v>
      </c>
      <c r="O507" cm="1">
        <f t="array" ref="O507:Q507">_xlfn.XLOOKUP(C507, X$2:X$7, AG$2:AI$7)</f>
        <v>56.4</v>
      </c>
      <c r="P507">
        <v>-0.16300000000000001</v>
      </c>
      <c r="Q507">
        <v>0</v>
      </c>
      <c r="R507">
        <f t="shared" si="94"/>
        <v>1.9399472670844479E-3</v>
      </c>
      <c r="S507" s="4">
        <f t="shared" si="95"/>
        <v>1</v>
      </c>
      <c r="T507">
        <f t="shared" si="96"/>
        <v>-1</v>
      </c>
      <c r="U507">
        <f t="shared" si="97"/>
        <v>-1</v>
      </c>
    </row>
    <row r="508" spans="1:21">
      <c r="A508" t="s">
        <v>144</v>
      </c>
      <c r="B508" t="s">
        <v>52</v>
      </c>
      <c r="C508" t="s">
        <v>159</v>
      </c>
      <c r="D508" s="1">
        <v>228</v>
      </c>
      <c r="E508" s="1">
        <f t="shared" si="86"/>
        <v>190</v>
      </c>
      <c r="F508">
        <v>10.1</v>
      </c>
      <c r="G508" s="1">
        <v>74</v>
      </c>
      <c r="H508">
        <f t="shared" si="87"/>
        <v>-179.9</v>
      </c>
      <c r="I508">
        <f t="shared" si="88"/>
        <v>-10.58235294117647</v>
      </c>
      <c r="J508">
        <f t="shared" si="89"/>
        <v>0</v>
      </c>
      <c r="K508">
        <f t="shared" si="90"/>
        <v>0.57566309754037293</v>
      </c>
      <c r="L508">
        <f t="shared" si="91"/>
        <v>0</v>
      </c>
      <c r="M508" s="4">
        <f t="shared" si="92"/>
        <v>0</v>
      </c>
      <c r="N508">
        <f t="shared" si="93"/>
        <v>0</v>
      </c>
      <c r="O508" cm="1">
        <f t="array" ref="O508:Q508">_xlfn.XLOOKUP(C508, X$2:X$7, AG$2:AI$7)</f>
        <v>56.4</v>
      </c>
      <c r="P508">
        <v>-0.16300000000000001</v>
      </c>
      <c r="Q508">
        <v>0</v>
      </c>
      <c r="R508">
        <f t="shared" si="94"/>
        <v>3.8009304186851725E-4</v>
      </c>
      <c r="S508" s="4">
        <f t="shared" si="95"/>
        <v>1</v>
      </c>
      <c r="T508">
        <f t="shared" si="96"/>
        <v>-1</v>
      </c>
      <c r="U508">
        <f t="shared" si="97"/>
        <v>-1</v>
      </c>
    </row>
    <row r="509" spans="1:21">
      <c r="A509" t="s">
        <v>480</v>
      </c>
      <c r="B509" t="s">
        <v>52</v>
      </c>
      <c r="C509" t="s">
        <v>586</v>
      </c>
      <c r="D509" s="1">
        <v>107.9</v>
      </c>
      <c r="E509" s="1">
        <f t="shared" si="86"/>
        <v>73</v>
      </c>
      <c r="F509">
        <v>46</v>
      </c>
      <c r="G509" s="1">
        <v>73</v>
      </c>
      <c r="H509">
        <f t="shared" si="87"/>
        <v>-27</v>
      </c>
      <c r="I509">
        <f t="shared" si="88"/>
        <v>-1.588235294117647</v>
      </c>
      <c r="J509">
        <f t="shared" si="89"/>
        <v>0</v>
      </c>
      <c r="K509">
        <f t="shared" si="90"/>
        <v>1.0011070456397422</v>
      </c>
      <c r="L509">
        <f t="shared" si="91"/>
        <v>0</v>
      </c>
      <c r="M509" s="4">
        <f t="shared" si="92"/>
        <v>0</v>
      </c>
      <c r="N509">
        <f t="shared" si="93"/>
        <v>0</v>
      </c>
      <c r="O509" cm="1">
        <f t="array" ref="O509:Q509">_xlfn.XLOOKUP(C509, X$2:X$7, AG$2:AI$7)</f>
        <v>5.0900000000000001E-2</v>
      </c>
      <c r="P509">
        <v>-3.9</v>
      </c>
      <c r="Q509">
        <v>73.900000000000006</v>
      </c>
      <c r="R509">
        <f t="shared" si="94"/>
        <v>70.540598700000032</v>
      </c>
      <c r="S509" s="4">
        <f t="shared" si="95"/>
        <v>1</v>
      </c>
      <c r="T509">
        <f t="shared" si="96"/>
        <v>-1</v>
      </c>
      <c r="U509">
        <f t="shared" si="97"/>
        <v>-1</v>
      </c>
    </row>
    <row r="510" spans="1:21">
      <c r="A510" t="s">
        <v>536</v>
      </c>
      <c r="B510" t="s">
        <v>52</v>
      </c>
      <c r="C510" t="s">
        <v>586</v>
      </c>
      <c r="D510" s="1">
        <v>107.9</v>
      </c>
      <c r="E510" s="1">
        <f t="shared" si="86"/>
        <v>73</v>
      </c>
      <c r="F510">
        <v>16.3</v>
      </c>
      <c r="G510" s="1">
        <v>131</v>
      </c>
      <c r="H510">
        <f t="shared" si="87"/>
        <v>-56.7</v>
      </c>
      <c r="I510">
        <f t="shared" si="88"/>
        <v>-3.335294117647059</v>
      </c>
      <c r="J510">
        <f t="shared" si="89"/>
        <v>0</v>
      </c>
      <c r="K510">
        <f t="shared" si="90"/>
        <v>1.0011070456397422</v>
      </c>
      <c r="L510">
        <f t="shared" si="91"/>
        <v>0</v>
      </c>
      <c r="M510" s="4">
        <f t="shared" si="92"/>
        <v>0</v>
      </c>
      <c r="N510">
        <f t="shared" si="93"/>
        <v>0</v>
      </c>
      <c r="O510" cm="1">
        <f t="array" ref="O510:Q510">_xlfn.XLOOKUP(C510, X$2:X$7, AG$2:AI$7)</f>
        <v>5.0900000000000001E-2</v>
      </c>
      <c r="P510">
        <v>-3.9</v>
      </c>
      <c r="Q510">
        <v>73.900000000000006</v>
      </c>
      <c r="R510">
        <f t="shared" si="94"/>
        <v>509.38954830000006</v>
      </c>
      <c r="S510" s="4">
        <f t="shared" si="95"/>
        <v>1</v>
      </c>
      <c r="T510">
        <f t="shared" si="96"/>
        <v>-1</v>
      </c>
      <c r="U510">
        <f t="shared" si="97"/>
        <v>-1</v>
      </c>
    </row>
    <row r="511" spans="1:21">
      <c r="A511" t="s">
        <v>541</v>
      </c>
      <c r="B511" t="s">
        <v>52</v>
      </c>
      <c r="C511" t="s">
        <v>586</v>
      </c>
      <c r="D511" s="1">
        <v>107.9</v>
      </c>
      <c r="E511" s="1">
        <f t="shared" si="86"/>
        <v>73</v>
      </c>
      <c r="F511">
        <v>13.6</v>
      </c>
      <c r="G511" s="1">
        <v>136</v>
      </c>
      <c r="H511">
        <f t="shared" si="87"/>
        <v>-59.4</v>
      </c>
      <c r="I511">
        <f t="shared" si="88"/>
        <v>-3.4941176470588236</v>
      </c>
      <c r="J511">
        <f t="shared" si="89"/>
        <v>0</v>
      </c>
      <c r="K511">
        <f t="shared" si="90"/>
        <v>1.0011070456397422</v>
      </c>
      <c r="L511">
        <f t="shared" si="91"/>
        <v>0</v>
      </c>
      <c r="M511" s="4">
        <f t="shared" si="92"/>
        <v>0</v>
      </c>
      <c r="N511">
        <f t="shared" si="93"/>
        <v>0</v>
      </c>
      <c r="O511" cm="1">
        <f t="array" ref="O511:Q511">_xlfn.XLOOKUP(C511, X$2:X$7, AG$2:AI$7)</f>
        <v>5.0900000000000001E-2</v>
      </c>
      <c r="P511">
        <v>-3.9</v>
      </c>
      <c r="Q511">
        <v>73.900000000000006</v>
      </c>
      <c r="R511">
        <f t="shared" si="94"/>
        <v>565.93244880000009</v>
      </c>
      <c r="S511" s="4">
        <f t="shared" si="95"/>
        <v>1</v>
      </c>
      <c r="T511">
        <f t="shared" si="96"/>
        <v>-1</v>
      </c>
      <c r="U511">
        <f t="shared" si="97"/>
        <v>-1</v>
      </c>
    </row>
    <row r="512" spans="1:21">
      <c r="A512" t="s">
        <v>629</v>
      </c>
      <c r="B512" t="s">
        <v>52</v>
      </c>
      <c r="C512" t="s">
        <v>729</v>
      </c>
      <c r="D512" s="1">
        <v>99</v>
      </c>
      <c r="E512" s="1">
        <f t="shared" si="86"/>
        <v>82.5</v>
      </c>
      <c r="F512">
        <v>39.299999999999997</v>
      </c>
      <c r="G512" s="1">
        <v>43</v>
      </c>
      <c r="H512">
        <f t="shared" si="87"/>
        <v>-43.2</v>
      </c>
      <c r="I512">
        <f t="shared" si="88"/>
        <v>-2.5411764705882356</v>
      </c>
      <c r="J512">
        <f t="shared" si="89"/>
        <v>0</v>
      </c>
      <c r="K512">
        <f t="shared" si="90"/>
        <v>1.0909252297006058</v>
      </c>
      <c r="L512">
        <f t="shared" si="91"/>
        <v>0</v>
      </c>
      <c r="M512" s="4">
        <f t="shared" si="92"/>
        <v>0</v>
      </c>
      <c r="N512">
        <f t="shared" si="93"/>
        <v>0</v>
      </c>
      <c r="O512" cm="1">
        <f t="array" ref="O512:Q512">_xlfn.XLOOKUP(C512, X$2:X$7, AG$2:AI$7)</f>
        <v>55.4</v>
      </c>
      <c r="P512">
        <v>-0.253</v>
      </c>
      <c r="Q512">
        <v>0</v>
      </c>
      <c r="R512">
        <f t="shared" si="94"/>
        <v>1.2186835588637714E-3</v>
      </c>
      <c r="S512" s="4">
        <f t="shared" si="95"/>
        <v>1</v>
      </c>
      <c r="T512">
        <f t="shared" si="96"/>
        <v>-1</v>
      </c>
      <c r="U512">
        <f t="shared" si="97"/>
        <v>-1</v>
      </c>
    </row>
    <row r="513" spans="1:21">
      <c r="A513" t="s">
        <v>670</v>
      </c>
      <c r="B513" t="s">
        <v>52</v>
      </c>
      <c r="C513" t="s">
        <v>729</v>
      </c>
      <c r="D513" s="1">
        <v>99</v>
      </c>
      <c r="E513" s="1">
        <f t="shared" si="86"/>
        <v>82.5</v>
      </c>
      <c r="F513">
        <v>20.3</v>
      </c>
      <c r="G513" s="1">
        <v>84</v>
      </c>
      <c r="H513">
        <f t="shared" si="87"/>
        <v>-62.2</v>
      </c>
      <c r="I513">
        <f t="shared" si="88"/>
        <v>-3.658823529411765</v>
      </c>
      <c r="J513">
        <f t="shared" si="89"/>
        <v>0</v>
      </c>
      <c r="K513">
        <f t="shared" si="90"/>
        <v>1.0909252297006058</v>
      </c>
      <c r="L513">
        <f t="shared" si="91"/>
        <v>0</v>
      </c>
      <c r="M513" s="4">
        <f t="shared" si="92"/>
        <v>0</v>
      </c>
      <c r="N513">
        <f t="shared" si="93"/>
        <v>0</v>
      </c>
      <c r="O513" cm="1">
        <f t="array" ref="O513:Q513">_xlfn.XLOOKUP(C513, X$2:X$7, AG$2:AI$7)</f>
        <v>55.4</v>
      </c>
      <c r="P513">
        <v>-0.253</v>
      </c>
      <c r="Q513">
        <v>0</v>
      </c>
      <c r="R513">
        <f t="shared" si="94"/>
        <v>3.8102571908104201E-8</v>
      </c>
      <c r="S513" s="4">
        <f t="shared" si="95"/>
        <v>1</v>
      </c>
      <c r="T513">
        <f t="shared" si="96"/>
        <v>-1</v>
      </c>
      <c r="U513">
        <f t="shared" si="97"/>
        <v>-1</v>
      </c>
    </row>
    <row r="514" spans="1:21">
      <c r="A514" t="s">
        <v>687</v>
      </c>
      <c r="B514" t="s">
        <v>52</v>
      </c>
      <c r="C514" t="s">
        <v>729</v>
      </c>
      <c r="D514" s="1">
        <v>99</v>
      </c>
      <c r="E514" s="1">
        <f t="shared" ref="E514:E577" si="98">IF(C514=X$2, AE$2, IF(C514 = X$3, AE$3, IF(C514 = X$4, AE$4, IF(C514 = X$5, AE$5, IF(C514=X$6, AE$6, IF(C514=X$7, AE$7, ""))))))</f>
        <v>82.5</v>
      </c>
      <c r="F514">
        <v>13.9</v>
      </c>
      <c r="G514" s="1">
        <v>102</v>
      </c>
      <c r="H514">
        <f t="shared" ref="H514:H577" si="99">F514-E514</f>
        <v>-68.599999999999994</v>
      </c>
      <c r="I514">
        <f t="shared" ref="I514:I577" si="100">H514/17</f>
        <v>-4.0352941176470587</v>
      </c>
      <c r="J514">
        <f t="shared" ref="J514:J577" si="101">IF(1+I514/AK$2&lt;0, 0,(1+I514/AK$2))</f>
        <v>0</v>
      </c>
      <c r="K514">
        <f t="shared" ref="K514:K577" si="102">IF(C514=X$2, AB$2, IF(C514 = X$3, AB$3, IF(C514 = X$4, AB$4, IF(C514 = X$5, AB$5, IF(C514=X$6, AB$6, IF(C514=X$7, AB$7, ""))))))</f>
        <v>1.0909252297006058</v>
      </c>
      <c r="L514">
        <f t="shared" ref="L514:L577" si="103">M514/AN$21*AN$12</f>
        <v>0</v>
      </c>
      <c r="M514" s="4">
        <f t="shared" ref="M514:M577" si="104">J514*K514</f>
        <v>0</v>
      </c>
      <c r="N514">
        <f t="shared" ref="N514:N577" si="105">M514*1.25</f>
        <v>0</v>
      </c>
      <c r="O514" cm="1">
        <f t="array" ref="O514:Q514">_xlfn.XLOOKUP(C514, X$2:X$7, AG$2:AI$7)</f>
        <v>55.4</v>
      </c>
      <c r="P514">
        <v>-0.253</v>
      </c>
      <c r="Q514">
        <v>0</v>
      </c>
      <c r="R514">
        <f t="shared" ref="R514:R577" si="106">IF(Q514=0,1.167*O514*EXP(P514*G514),1.167*(O514*G514^2+P514*G514+Q514))</f>
        <v>4.0103033105457415E-10</v>
      </c>
      <c r="S514" s="4">
        <f t="shared" ref="S514:S577" si="107">IF(OR(H514&lt;0, R514&lt;1), 1, R514)</f>
        <v>1</v>
      </c>
      <c r="T514">
        <f t="shared" ref="T514:T577" si="108">M514-S514</f>
        <v>-1</v>
      </c>
      <c r="U514">
        <f t="shared" ref="U514:U577" si="109">N514-S514</f>
        <v>-1</v>
      </c>
    </row>
    <row r="515" spans="1:21">
      <c r="A515" t="s">
        <v>724</v>
      </c>
      <c r="B515" t="s">
        <v>52</v>
      </c>
      <c r="C515" t="s">
        <v>729</v>
      </c>
      <c r="D515" s="1">
        <v>99</v>
      </c>
      <c r="E515" s="1">
        <f t="shared" si="98"/>
        <v>82.5</v>
      </c>
      <c r="F515">
        <v>1</v>
      </c>
      <c r="G515" s="1">
        <v>140</v>
      </c>
      <c r="H515">
        <f t="shared" si="99"/>
        <v>-81.5</v>
      </c>
      <c r="I515">
        <f t="shared" si="100"/>
        <v>-4.7941176470588234</v>
      </c>
      <c r="J515">
        <f t="shared" si="101"/>
        <v>0</v>
      </c>
      <c r="K515">
        <f t="shared" si="102"/>
        <v>1.0909252297006058</v>
      </c>
      <c r="L515">
        <f t="shared" si="103"/>
        <v>0</v>
      </c>
      <c r="M515" s="4">
        <f t="shared" si="104"/>
        <v>0</v>
      </c>
      <c r="N515">
        <f t="shared" si="105"/>
        <v>0</v>
      </c>
      <c r="O515" cm="1">
        <f t="array" ref="O515:Q515">_xlfn.XLOOKUP(C515, X$2:X$7, AG$2:AI$7)</f>
        <v>55.4</v>
      </c>
      <c r="P515">
        <v>-0.253</v>
      </c>
      <c r="Q515">
        <v>0</v>
      </c>
      <c r="R515">
        <f t="shared" si="106"/>
        <v>2.6783669157002956E-14</v>
      </c>
      <c r="S515" s="4">
        <f t="shared" si="107"/>
        <v>1</v>
      </c>
      <c r="T515">
        <f t="shared" si="108"/>
        <v>-1</v>
      </c>
      <c r="U515">
        <f t="shared" si="109"/>
        <v>-1</v>
      </c>
    </row>
    <row r="516" spans="1:21">
      <c r="A516" t="s">
        <v>305</v>
      </c>
      <c r="B516" t="s">
        <v>52</v>
      </c>
      <c r="C516" t="s">
        <v>407</v>
      </c>
      <c r="D516" s="1">
        <v>116.9</v>
      </c>
      <c r="E516" s="1">
        <f t="shared" si="98"/>
        <v>93.4</v>
      </c>
      <c r="F516">
        <v>23.8</v>
      </c>
      <c r="G516" s="1">
        <v>146</v>
      </c>
      <c r="H516">
        <f t="shared" si="99"/>
        <v>-69.600000000000009</v>
      </c>
      <c r="I516">
        <f t="shared" si="100"/>
        <v>-4.0941176470588241</v>
      </c>
      <c r="J516">
        <f t="shared" si="101"/>
        <v>0</v>
      </c>
      <c r="K516">
        <f t="shared" si="102"/>
        <v>0.94226603101549489</v>
      </c>
      <c r="L516">
        <f t="shared" si="103"/>
        <v>0</v>
      </c>
      <c r="M516" s="4">
        <f t="shared" si="104"/>
        <v>0</v>
      </c>
      <c r="N516">
        <f t="shared" si="105"/>
        <v>0</v>
      </c>
      <c r="O516" cm="1">
        <f t="array" ref="O516:Q516">_xlfn.XLOOKUP(C516, X$2:X$7, AG$2:AI$7)</f>
        <v>57.8</v>
      </c>
      <c r="P516">
        <v>-6.4299999999999996E-2</v>
      </c>
      <c r="Q516">
        <v>0</v>
      </c>
      <c r="R516">
        <f t="shared" si="106"/>
        <v>5.6484456886911798E-3</v>
      </c>
      <c r="S516" s="4">
        <f t="shared" si="107"/>
        <v>1</v>
      </c>
      <c r="T516">
        <f t="shared" si="108"/>
        <v>-1</v>
      </c>
      <c r="U516">
        <f t="shared" si="109"/>
        <v>-1</v>
      </c>
    </row>
    <row r="517" spans="1:21">
      <c r="A517" t="s">
        <v>318</v>
      </c>
      <c r="B517" t="s">
        <v>52</v>
      </c>
      <c r="C517" t="s">
        <v>407</v>
      </c>
      <c r="D517" s="1">
        <v>116.9</v>
      </c>
      <c r="E517" s="1">
        <f t="shared" si="98"/>
        <v>93.4</v>
      </c>
      <c r="F517">
        <v>18.100000000000001</v>
      </c>
      <c r="G517" s="1">
        <v>159</v>
      </c>
      <c r="H517">
        <f t="shared" si="99"/>
        <v>-75.300000000000011</v>
      </c>
      <c r="I517">
        <f t="shared" si="100"/>
        <v>-4.4294117647058826</v>
      </c>
      <c r="J517">
        <f t="shared" si="101"/>
        <v>0</v>
      </c>
      <c r="K517">
        <f t="shared" si="102"/>
        <v>0.94226603101549489</v>
      </c>
      <c r="L517">
        <f t="shared" si="103"/>
        <v>0</v>
      </c>
      <c r="M517" s="4">
        <f t="shared" si="104"/>
        <v>0</v>
      </c>
      <c r="N517">
        <f t="shared" si="105"/>
        <v>0</v>
      </c>
      <c r="O517" cm="1">
        <f t="array" ref="O517:Q517">_xlfn.XLOOKUP(C517, X$2:X$7, AG$2:AI$7)</f>
        <v>57.8</v>
      </c>
      <c r="P517">
        <v>-6.4299999999999996E-2</v>
      </c>
      <c r="Q517">
        <v>0</v>
      </c>
      <c r="R517">
        <f t="shared" si="106"/>
        <v>2.4485117915260877E-3</v>
      </c>
      <c r="S517" s="4">
        <f t="shared" si="107"/>
        <v>1</v>
      </c>
      <c r="T517">
        <f t="shared" si="108"/>
        <v>-1</v>
      </c>
      <c r="U517">
        <f t="shared" si="109"/>
        <v>-1</v>
      </c>
    </row>
    <row r="518" spans="1:21">
      <c r="A518" t="s">
        <v>342</v>
      </c>
      <c r="B518" t="s">
        <v>52</v>
      </c>
      <c r="C518" t="s">
        <v>407</v>
      </c>
      <c r="D518" s="1">
        <v>116.9</v>
      </c>
      <c r="E518" s="1">
        <f t="shared" si="98"/>
        <v>93.4</v>
      </c>
      <c r="F518">
        <v>10.3</v>
      </c>
      <c r="G518" s="1">
        <v>183</v>
      </c>
      <c r="H518">
        <f t="shared" si="99"/>
        <v>-83.100000000000009</v>
      </c>
      <c r="I518">
        <f t="shared" si="100"/>
        <v>-4.8882352941176475</v>
      </c>
      <c r="J518">
        <f t="shared" si="101"/>
        <v>0</v>
      </c>
      <c r="K518">
        <f t="shared" si="102"/>
        <v>0.94226603101549489</v>
      </c>
      <c r="L518">
        <f t="shared" si="103"/>
        <v>0</v>
      </c>
      <c r="M518" s="4">
        <f t="shared" si="104"/>
        <v>0</v>
      </c>
      <c r="N518">
        <f t="shared" si="105"/>
        <v>0</v>
      </c>
      <c r="O518" cm="1">
        <f t="array" ref="O518:Q518">_xlfn.XLOOKUP(C518, X$2:X$7, AG$2:AI$7)</f>
        <v>57.8</v>
      </c>
      <c r="P518">
        <v>-6.4299999999999996E-2</v>
      </c>
      <c r="Q518">
        <v>0</v>
      </c>
      <c r="R518">
        <f t="shared" si="106"/>
        <v>5.2323761252777781E-4</v>
      </c>
      <c r="S518" s="4">
        <f t="shared" si="107"/>
        <v>1</v>
      </c>
      <c r="T518">
        <f t="shared" si="108"/>
        <v>-1</v>
      </c>
      <c r="U518">
        <f t="shared" si="109"/>
        <v>-1</v>
      </c>
    </row>
    <row r="519" spans="1:21">
      <c r="A519" t="s">
        <v>370</v>
      </c>
      <c r="B519" t="s">
        <v>52</v>
      </c>
      <c r="C519" t="s">
        <v>407</v>
      </c>
      <c r="D519" s="1">
        <v>116.9</v>
      </c>
      <c r="E519" s="1">
        <f t="shared" si="98"/>
        <v>93.4</v>
      </c>
      <c r="F519">
        <v>7</v>
      </c>
      <c r="G519" s="1">
        <v>211</v>
      </c>
      <c r="H519">
        <f t="shared" si="99"/>
        <v>-86.4</v>
      </c>
      <c r="I519">
        <f t="shared" si="100"/>
        <v>-5.0823529411764712</v>
      </c>
      <c r="J519">
        <f t="shared" si="101"/>
        <v>0</v>
      </c>
      <c r="K519">
        <f t="shared" si="102"/>
        <v>0.94226603101549489</v>
      </c>
      <c r="L519">
        <f t="shared" si="103"/>
        <v>0</v>
      </c>
      <c r="M519" s="4">
        <f t="shared" si="104"/>
        <v>0</v>
      </c>
      <c r="N519">
        <f t="shared" si="105"/>
        <v>0</v>
      </c>
      <c r="O519" cm="1">
        <f t="array" ref="O519:Q519">_xlfn.XLOOKUP(C519, X$2:X$7, AG$2:AI$7)</f>
        <v>57.8</v>
      </c>
      <c r="P519">
        <v>-6.4299999999999996E-2</v>
      </c>
      <c r="Q519">
        <v>0</v>
      </c>
      <c r="R519">
        <f t="shared" si="106"/>
        <v>8.645600630663352E-5</v>
      </c>
      <c r="S519" s="4">
        <f t="shared" si="107"/>
        <v>1</v>
      </c>
      <c r="T519">
        <f t="shared" si="108"/>
        <v>-1</v>
      </c>
      <c r="U519">
        <f t="shared" si="109"/>
        <v>-1</v>
      </c>
    </row>
    <row r="520" spans="1:21">
      <c r="A520" t="s">
        <v>762</v>
      </c>
      <c r="B520" t="s">
        <v>82</v>
      </c>
      <c r="C520" t="s">
        <v>764</v>
      </c>
      <c r="D520" s="1">
        <v>124.7</v>
      </c>
      <c r="E520" s="1">
        <f t="shared" si="98"/>
        <v>118.7</v>
      </c>
      <c r="F520">
        <v>105.8</v>
      </c>
      <c r="G520" s="1">
        <v>33</v>
      </c>
      <c r="H520">
        <f t="shared" si="99"/>
        <v>-12.900000000000006</v>
      </c>
      <c r="I520">
        <f t="shared" si="100"/>
        <v>-0.75882352941176501</v>
      </c>
      <c r="J520">
        <f t="shared" si="101"/>
        <v>0</v>
      </c>
      <c r="K520">
        <f t="shared" si="102"/>
        <v>0.70591649737063444</v>
      </c>
      <c r="L520">
        <f t="shared" si="103"/>
        <v>0</v>
      </c>
      <c r="M520" s="4">
        <f t="shared" si="104"/>
        <v>0</v>
      </c>
      <c r="N520">
        <f t="shared" si="105"/>
        <v>0</v>
      </c>
      <c r="O520" cm="1">
        <f t="array" ref="O520:Q520">_xlfn.XLOOKUP(C520, X$2:X$7, AG$2:AI$7)</f>
        <v>3.22</v>
      </c>
      <c r="P520">
        <v>-0.14799999999999999</v>
      </c>
      <c r="Q520">
        <v>0</v>
      </c>
      <c r="R520">
        <f t="shared" si="106"/>
        <v>2.8433641154645816E-2</v>
      </c>
      <c r="S520" s="4">
        <f t="shared" si="107"/>
        <v>1</v>
      </c>
      <c r="T520">
        <f t="shared" si="108"/>
        <v>-1</v>
      </c>
      <c r="U520">
        <f t="shared" si="109"/>
        <v>-1</v>
      </c>
    </row>
    <row r="521" spans="1:21">
      <c r="A521" t="s">
        <v>113</v>
      </c>
      <c r="B521" t="s">
        <v>82</v>
      </c>
      <c r="C521" t="s">
        <v>159</v>
      </c>
      <c r="D521" s="1">
        <v>228</v>
      </c>
      <c r="E521" s="1">
        <f t="shared" si="98"/>
        <v>190</v>
      </c>
      <c r="F521">
        <v>32.6</v>
      </c>
      <c r="G521" s="1">
        <v>43</v>
      </c>
      <c r="H521">
        <f t="shared" si="99"/>
        <v>-157.4</v>
      </c>
      <c r="I521">
        <f t="shared" si="100"/>
        <v>-9.2588235294117656</v>
      </c>
      <c r="J521">
        <f t="shared" si="101"/>
        <v>0</v>
      </c>
      <c r="K521">
        <f t="shared" si="102"/>
        <v>0.57566309754037293</v>
      </c>
      <c r="L521">
        <f t="shared" si="103"/>
        <v>0</v>
      </c>
      <c r="M521" s="4">
        <f t="shared" si="104"/>
        <v>0</v>
      </c>
      <c r="N521">
        <f t="shared" si="105"/>
        <v>0</v>
      </c>
      <c r="O521" cm="1">
        <f t="array" ref="O521:Q521">_xlfn.XLOOKUP(C521, X$2:X$7, AG$2:AI$7)</f>
        <v>56.4</v>
      </c>
      <c r="P521">
        <v>-0.16300000000000001</v>
      </c>
      <c r="Q521">
        <v>0</v>
      </c>
      <c r="R521">
        <f t="shared" si="106"/>
        <v>5.9481229416639074E-2</v>
      </c>
      <c r="S521" s="4">
        <f t="shared" si="107"/>
        <v>1</v>
      </c>
      <c r="T521">
        <f t="shared" si="108"/>
        <v>-1</v>
      </c>
      <c r="U521">
        <f t="shared" si="109"/>
        <v>-1</v>
      </c>
    </row>
    <row r="522" spans="1:21">
      <c r="A522" t="s">
        <v>132</v>
      </c>
      <c r="B522" t="s">
        <v>82</v>
      </c>
      <c r="C522" t="s">
        <v>159</v>
      </c>
      <c r="D522" s="1">
        <v>228</v>
      </c>
      <c r="E522" s="1">
        <f t="shared" si="98"/>
        <v>190</v>
      </c>
      <c r="F522">
        <v>18.3</v>
      </c>
      <c r="G522" s="1">
        <v>62</v>
      </c>
      <c r="H522">
        <f t="shared" si="99"/>
        <v>-171.7</v>
      </c>
      <c r="I522">
        <f t="shared" si="100"/>
        <v>-10.1</v>
      </c>
      <c r="J522">
        <f t="shared" si="101"/>
        <v>0</v>
      </c>
      <c r="K522">
        <f t="shared" si="102"/>
        <v>0.57566309754037293</v>
      </c>
      <c r="L522">
        <f t="shared" si="103"/>
        <v>0</v>
      </c>
      <c r="M522" s="4">
        <f t="shared" si="104"/>
        <v>0</v>
      </c>
      <c r="N522">
        <f t="shared" si="105"/>
        <v>0</v>
      </c>
      <c r="O522" cm="1">
        <f t="array" ref="O522:Q522">_xlfn.XLOOKUP(C522, X$2:X$7, AG$2:AI$7)</f>
        <v>56.4</v>
      </c>
      <c r="P522">
        <v>-0.16300000000000001</v>
      </c>
      <c r="Q522">
        <v>0</v>
      </c>
      <c r="R522">
        <f t="shared" si="106"/>
        <v>2.6876327586215524E-3</v>
      </c>
      <c r="S522" s="4">
        <f t="shared" si="107"/>
        <v>1</v>
      </c>
      <c r="T522">
        <f t="shared" si="108"/>
        <v>-1</v>
      </c>
      <c r="U522">
        <f t="shared" si="109"/>
        <v>-1</v>
      </c>
    </row>
    <row r="523" spans="1:21">
      <c r="A523" t="s">
        <v>484</v>
      </c>
      <c r="B523" t="s">
        <v>82</v>
      </c>
      <c r="C523" t="s">
        <v>586</v>
      </c>
      <c r="D523" s="1">
        <v>107.9</v>
      </c>
      <c r="E523" s="1">
        <f t="shared" si="98"/>
        <v>73</v>
      </c>
      <c r="F523">
        <v>44.4</v>
      </c>
      <c r="G523" s="1">
        <v>77</v>
      </c>
      <c r="H523">
        <f t="shared" si="99"/>
        <v>-28.6</v>
      </c>
      <c r="I523">
        <f t="shared" si="100"/>
        <v>-1.6823529411764706</v>
      </c>
      <c r="J523">
        <f t="shared" si="101"/>
        <v>0</v>
      </c>
      <c r="K523">
        <f t="shared" si="102"/>
        <v>1.0011070456397422</v>
      </c>
      <c r="L523">
        <f t="shared" si="103"/>
        <v>0</v>
      </c>
      <c r="M523" s="4">
        <f t="shared" si="104"/>
        <v>0</v>
      </c>
      <c r="N523">
        <f t="shared" si="105"/>
        <v>0</v>
      </c>
      <c r="O523" cm="1">
        <f t="array" ref="O523:Q523">_xlfn.XLOOKUP(C523, X$2:X$7, AG$2:AI$7)</f>
        <v>5.0900000000000001E-2</v>
      </c>
      <c r="P523">
        <v>-3.9</v>
      </c>
      <c r="Q523">
        <v>73.900000000000006</v>
      </c>
      <c r="R523">
        <f t="shared" si="106"/>
        <v>87.975578700000028</v>
      </c>
      <c r="S523" s="4">
        <f t="shared" si="107"/>
        <v>1</v>
      </c>
      <c r="T523">
        <f t="shared" si="108"/>
        <v>-1</v>
      </c>
      <c r="U523">
        <f t="shared" si="109"/>
        <v>-1</v>
      </c>
    </row>
    <row r="524" spans="1:21">
      <c r="A524" t="s">
        <v>543</v>
      </c>
      <c r="B524" t="s">
        <v>82</v>
      </c>
      <c r="C524" t="s">
        <v>586</v>
      </c>
      <c r="D524" s="1">
        <v>107.9</v>
      </c>
      <c r="E524" s="1">
        <f t="shared" si="98"/>
        <v>73</v>
      </c>
      <c r="F524">
        <v>13.5</v>
      </c>
      <c r="G524" s="1">
        <v>138</v>
      </c>
      <c r="H524">
        <f t="shared" si="99"/>
        <v>-59.5</v>
      </c>
      <c r="I524">
        <f t="shared" si="100"/>
        <v>-3.5</v>
      </c>
      <c r="J524">
        <f t="shared" si="101"/>
        <v>0</v>
      </c>
      <c r="K524">
        <f t="shared" si="102"/>
        <v>1.0011070456397422</v>
      </c>
      <c r="L524">
        <f t="shared" si="103"/>
        <v>0</v>
      </c>
      <c r="M524" s="4">
        <f t="shared" si="104"/>
        <v>0</v>
      </c>
      <c r="N524">
        <f t="shared" si="105"/>
        <v>0</v>
      </c>
      <c r="O524" cm="1">
        <f t="array" ref="O524:Q524">_xlfn.XLOOKUP(C524, X$2:X$7, AG$2:AI$7)</f>
        <v>5.0900000000000001E-2</v>
      </c>
      <c r="P524">
        <v>-3.9</v>
      </c>
      <c r="Q524">
        <v>73.900000000000006</v>
      </c>
      <c r="R524">
        <f t="shared" si="106"/>
        <v>589.38121320000005</v>
      </c>
      <c r="S524" s="4">
        <f t="shared" si="107"/>
        <v>1</v>
      </c>
      <c r="T524">
        <f t="shared" si="108"/>
        <v>-1</v>
      </c>
      <c r="U524">
        <f t="shared" si="109"/>
        <v>-1</v>
      </c>
    </row>
    <row r="525" spans="1:21">
      <c r="A525" t="s">
        <v>552</v>
      </c>
      <c r="B525" t="s">
        <v>82</v>
      </c>
      <c r="C525" t="s">
        <v>586</v>
      </c>
      <c r="D525" s="1">
        <v>107.9</v>
      </c>
      <c r="E525" s="1">
        <f t="shared" si="98"/>
        <v>73</v>
      </c>
      <c r="F525">
        <v>10.1</v>
      </c>
      <c r="G525" s="1">
        <v>147</v>
      </c>
      <c r="H525">
        <f t="shared" si="99"/>
        <v>-62.9</v>
      </c>
      <c r="I525">
        <f t="shared" si="100"/>
        <v>-3.6999999999999997</v>
      </c>
      <c r="J525">
        <f t="shared" si="101"/>
        <v>0</v>
      </c>
      <c r="K525">
        <f t="shared" si="102"/>
        <v>1.0011070456397422</v>
      </c>
      <c r="L525">
        <f t="shared" si="103"/>
        <v>0</v>
      </c>
      <c r="M525" s="4">
        <f t="shared" si="104"/>
        <v>0</v>
      </c>
      <c r="N525">
        <f t="shared" si="105"/>
        <v>0</v>
      </c>
      <c r="O525" cm="1">
        <f t="array" ref="O525:Q525">_xlfn.XLOOKUP(C525, X$2:X$7, AG$2:AI$7)</f>
        <v>5.0900000000000001E-2</v>
      </c>
      <c r="P525">
        <v>-3.9</v>
      </c>
      <c r="Q525">
        <v>73.900000000000006</v>
      </c>
      <c r="R525">
        <f t="shared" si="106"/>
        <v>700.78128270000013</v>
      </c>
      <c r="S525" s="4">
        <f t="shared" si="107"/>
        <v>1</v>
      </c>
      <c r="T525">
        <f t="shared" si="108"/>
        <v>-1</v>
      </c>
      <c r="U525">
        <f t="shared" si="109"/>
        <v>-1</v>
      </c>
    </row>
    <row r="526" spans="1:21">
      <c r="A526" t="s">
        <v>661</v>
      </c>
      <c r="B526" t="s">
        <v>82</v>
      </c>
      <c r="C526" t="s">
        <v>729</v>
      </c>
      <c r="D526" s="1">
        <v>99</v>
      </c>
      <c r="E526" s="1">
        <f t="shared" si="98"/>
        <v>82.5</v>
      </c>
      <c r="F526">
        <v>22.7</v>
      </c>
      <c r="G526" s="1">
        <v>75</v>
      </c>
      <c r="H526">
        <f t="shared" si="99"/>
        <v>-59.8</v>
      </c>
      <c r="I526">
        <f t="shared" si="100"/>
        <v>-3.5176470588235293</v>
      </c>
      <c r="J526">
        <f t="shared" si="101"/>
        <v>0</v>
      </c>
      <c r="K526">
        <f t="shared" si="102"/>
        <v>1.0909252297006058</v>
      </c>
      <c r="L526">
        <f t="shared" si="103"/>
        <v>0</v>
      </c>
      <c r="M526" s="4">
        <f t="shared" si="104"/>
        <v>0</v>
      </c>
      <c r="N526">
        <f t="shared" si="105"/>
        <v>0</v>
      </c>
      <c r="O526" cm="1">
        <f t="array" ref="O526:Q526">_xlfn.XLOOKUP(C526, X$2:X$7, AG$2:AI$7)</f>
        <v>55.4</v>
      </c>
      <c r="P526">
        <v>-0.253</v>
      </c>
      <c r="Q526">
        <v>0</v>
      </c>
      <c r="R526">
        <f t="shared" si="106"/>
        <v>3.7140079297158683E-7</v>
      </c>
      <c r="S526" s="4">
        <f t="shared" si="107"/>
        <v>1</v>
      </c>
      <c r="T526">
        <f t="shared" si="108"/>
        <v>-1</v>
      </c>
      <c r="U526">
        <f t="shared" si="109"/>
        <v>-1</v>
      </c>
    </row>
    <row r="527" spans="1:21">
      <c r="A527" t="s">
        <v>665</v>
      </c>
      <c r="B527" t="s">
        <v>82</v>
      </c>
      <c r="C527" t="s">
        <v>729</v>
      </c>
      <c r="D527" s="1">
        <v>99</v>
      </c>
      <c r="E527" s="1">
        <f t="shared" si="98"/>
        <v>82.5</v>
      </c>
      <c r="F527">
        <v>21.8</v>
      </c>
      <c r="G527" s="1">
        <v>79</v>
      </c>
      <c r="H527">
        <f t="shared" si="99"/>
        <v>-60.7</v>
      </c>
      <c r="I527">
        <f t="shared" si="100"/>
        <v>-3.5705882352941178</v>
      </c>
      <c r="J527">
        <f t="shared" si="101"/>
        <v>0</v>
      </c>
      <c r="K527">
        <f t="shared" si="102"/>
        <v>1.0909252297006058</v>
      </c>
      <c r="L527">
        <f t="shared" si="103"/>
        <v>0</v>
      </c>
      <c r="M527" s="4">
        <f t="shared" si="104"/>
        <v>0</v>
      </c>
      <c r="N527">
        <f t="shared" si="105"/>
        <v>0</v>
      </c>
      <c r="O527" cm="1">
        <f t="array" ref="O527:Q527">_xlfn.XLOOKUP(C527, X$2:X$7, AG$2:AI$7)</f>
        <v>55.4</v>
      </c>
      <c r="P527">
        <v>-0.253</v>
      </c>
      <c r="Q527">
        <v>0</v>
      </c>
      <c r="R527">
        <f t="shared" si="106"/>
        <v>1.3500094575467374E-7</v>
      </c>
      <c r="S527" s="4">
        <f t="shared" si="107"/>
        <v>1</v>
      </c>
      <c r="T527">
        <f t="shared" si="108"/>
        <v>-1</v>
      </c>
      <c r="U527">
        <f t="shared" si="109"/>
        <v>-1</v>
      </c>
    </row>
    <row r="528" spans="1:21">
      <c r="A528" t="s">
        <v>669</v>
      </c>
      <c r="B528" t="s">
        <v>82</v>
      </c>
      <c r="C528" t="s">
        <v>729</v>
      </c>
      <c r="D528" s="1">
        <v>99</v>
      </c>
      <c r="E528" s="1">
        <f t="shared" si="98"/>
        <v>82.5</v>
      </c>
      <c r="F528">
        <v>20.3</v>
      </c>
      <c r="G528" s="1">
        <v>83</v>
      </c>
      <c r="H528">
        <f t="shared" si="99"/>
        <v>-62.2</v>
      </c>
      <c r="I528">
        <f t="shared" si="100"/>
        <v>-3.658823529411765</v>
      </c>
      <c r="J528">
        <f t="shared" si="101"/>
        <v>0</v>
      </c>
      <c r="K528">
        <f t="shared" si="102"/>
        <v>1.0909252297006058</v>
      </c>
      <c r="L528">
        <f t="shared" si="103"/>
        <v>0</v>
      </c>
      <c r="M528" s="4">
        <f t="shared" si="104"/>
        <v>0</v>
      </c>
      <c r="N528">
        <f t="shared" si="105"/>
        <v>0</v>
      </c>
      <c r="O528" cm="1">
        <f t="array" ref="O528:Q528">_xlfn.XLOOKUP(C528, X$2:X$7, AG$2:AI$7)</f>
        <v>55.4</v>
      </c>
      <c r="P528">
        <v>-0.253</v>
      </c>
      <c r="Q528">
        <v>0</v>
      </c>
      <c r="R528">
        <f t="shared" si="106"/>
        <v>4.9071665164836377E-8</v>
      </c>
      <c r="S528" s="4">
        <f t="shared" si="107"/>
        <v>1</v>
      </c>
      <c r="T528">
        <f t="shared" si="108"/>
        <v>-1</v>
      </c>
      <c r="U528">
        <f t="shared" si="109"/>
        <v>-1</v>
      </c>
    </row>
    <row r="529" spans="1:21">
      <c r="A529" t="s">
        <v>257</v>
      </c>
      <c r="B529" t="s">
        <v>82</v>
      </c>
      <c r="C529" t="s">
        <v>407</v>
      </c>
      <c r="D529" s="1">
        <v>116.9</v>
      </c>
      <c r="E529" s="1">
        <f t="shared" si="98"/>
        <v>93.4</v>
      </c>
      <c r="F529">
        <v>63.1</v>
      </c>
      <c r="G529" s="1">
        <v>98</v>
      </c>
      <c r="H529">
        <f t="shared" si="99"/>
        <v>-30.300000000000004</v>
      </c>
      <c r="I529">
        <f t="shared" si="100"/>
        <v>-1.7823529411764709</v>
      </c>
      <c r="J529">
        <f t="shared" si="101"/>
        <v>0</v>
      </c>
      <c r="K529">
        <f t="shared" si="102"/>
        <v>0.94226603101549489</v>
      </c>
      <c r="L529">
        <f t="shared" si="103"/>
        <v>0</v>
      </c>
      <c r="M529" s="4">
        <f t="shared" si="104"/>
        <v>0</v>
      </c>
      <c r="N529">
        <f t="shared" si="105"/>
        <v>0</v>
      </c>
      <c r="O529" cm="1">
        <f t="array" ref="O529:Q529">_xlfn.XLOOKUP(C529, X$2:X$7, AG$2:AI$7)</f>
        <v>57.8</v>
      </c>
      <c r="P529">
        <v>-6.4299999999999996E-2</v>
      </c>
      <c r="Q529">
        <v>0</v>
      </c>
      <c r="R529">
        <f t="shared" si="106"/>
        <v>0.12369024398840978</v>
      </c>
      <c r="S529" s="4">
        <f t="shared" si="107"/>
        <v>1</v>
      </c>
      <c r="T529">
        <f t="shared" si="108"/>
        <v>-1</v>
      </c>
      <c r="U529">
        <f t="shared" si="109"/>
        <v>-1</v>
      </c>
    </row>
    <row r="530" spans="1:21">
      <c r="A530" t="s">
        <v>264</v>
      </c>
      <c r="B530" t="s">
        <v>82</v>
      </c>
      <c r="C530" t="s">
        <v>407</v>
      </c>
      <c r="D530" s="1">
        <v>116.9</v>
      </c>
      <c r="E530" s="1">
        <f t="shared" si="98"/>
        <v>93.4</v>
      </c>
      <c r="F530">
        <v>57.6</v>
      </c>
      <c r="G530" s="1">
        <v>105</v>
      </c>
      <c r="H530">
        <f t="shared" si="99"/>
        <v>-35.800000000000004</v>
      </c>
      <c r="I530">
        <f t="shared" si="100"/>
        <v>-2.1058823529411765</v>
      </c>
      <c r="J530">
        <f t="shared" si="101"/>
        <v>0</v>
      </c>
      <c r="K530">
        <f t="shared" si="102"/>
        <v>0.94226603101549489</v>
      </c>
      <c r="L530">
        <f t="shared" si="103"/>
        <v>0</v>
      </c>
      <c r="M530" s="4">
        <f t="shared" si="104"/>
        <v>0</v>
      </c>
      <c r="N530">
        <f t="shared" si="105"/>
        <v>0</v>
      </c>
      <c r="O530" cm="1">
        <f t="array" ref="O530:Q530">_xlfn.XLOOKUP(C530, X$2:X$7, AG$2:AI$7)</f>
        <v>57.8</v>
      </c>
      <c r="P530">
        <v>-6.4299999999999996E-2</v>
      </c>
      <c r="Q530">
        <v>0</v>
      </c>
      <c r="R530">
        <f t="shared" si="106"/>
        <v>7.886049520413986E-2</v>
      </c>
      <c r="S530" s="4">
        <f t="shared" si="107"/>
        <v>1</v>
      </c>
      <c r="T530">
        <f t="shared" si="108"/>
        <v>-1</v>
      </c>
      <c r="U530">
        <f t="shared" si="109"/>
        <v>-1</v>
      </c>
    </row>
    <row r="531" spans="1:21">
      <c r="A531" t="s">
        <v>265</v>
      </c>
      <c r="B531" t="s">
        <v>82</v>
      </c>
      <c r="C531" t="s">
        <v>407</v>
      </c>
      <c r="D531" s="1">
        <v>116.9</v>
      </c>
      <c r="E531" s="1">
        <f t="shared" si="98"/>
        <v>93.4</v>
      </c>
      <c r="F531">
        <v>55.4</v>
      </c>
      <c r="G531" s="1">
        <v>106</v>
      </c>
      <c r="H531">
        <f t="shared" si="99"/>
        <v>-38.000000000000007</v>
      </c>
      <c r="I531">
        <f t="shared" si="100"/>
        <v>-2.2352941176470593</v>
      </c>
      <c r="J531">
        <f t="shared" si="101"/>
        <v>0</v>
      </c>
      <c r="K531">
        <f t="shared" si="102"/>
        <v>0.94226603101549489</v>
      </c>
      <c r="L531">
        <f t="shared" si="103"/>
        <v>0</v>
      </c>
      <c r="M531" s="4">
        <f t="shared" si="104"/>
        <v>0</v>
      </c>
      <c r="N531">
        <f t="shared" si="105"/>
        <v>0</v>
      </c>
      <c r="O531" cm="1">
        <f t="array" ref="O531:Q531">_xlfn.XLOOKUP(C531, X$2:X$7, AG$2:AI$7)</f>
        <v>57.8</v>
      </c>
      <c r="P531">
        <v>-6.4299999999999996E-2</v>
      </c>
      <c r="Q531">
        <v>0</v>
      </c>
      <c r="R531">
        <f t="shared" si="106"/>
        <v>7.3949350633708597E-2</v>
      </c>
      <c r="S531" s="4">
        <f t="shared" si="107"/>
        <v>1</v>
      </c>
      <c r="T531">
        <f t="shared" si="108"/>
        <v>-1</v>
      </c>
      <c r="U531">
        <f t="shared" si="109"/>
        <v>-1</v>
      </c>
    </row>
    <row r="532" spans="1:21">
      <c r="A532" t="s">
        <v>283</v>
      </c>
      <c r="B532" t="s">
        <v>82</v>
      </c>
      <c r="C532" t="s">
        <v>407</v>
      </c>
      <c r="D532" s="1">
        <v>116.9</v>
      </c>
      <c r="E532" s="1">
        <f t="shared" si="98"/>
        <v>93.4</v>
      </c>
      <c r="F532">
        <v>36.299999999999997</v>
      </c>
      <c r="G532" s="1">
        <v>124</v>
      </c>
      <c r="H532">
        <f t="shared" si="99"/>
        <v>-57.100000000000009</v>
      </c>
      <c r="I532">
        <f t="shared" si="100"/>
        <v>-3.3588235294117652</v>
      </c>
      <c r="J532">
        <f t="shared" si="101"/>
        <v>0</v>
      </c>
      <c r="K532">
        <f t="shared" si="102"/>
        <v>0.94226603101549489</v>
      </c>
      <c r="L532">
        <f t="shared" si="103"/>
        <v>0</v>
      </c>
      <c r="M532" s="4">
        <f t="shared" si="104"/>
        <v>0</v>
      </c>
      <c r="N532">
        <f t="shared" si="105"/>
        <v>0</v>
      </c>
      <c r="O532" cm="1">
        <f t="array" ref="O532:Q532">_xlfn.XLOOKUP(C532, X$2:X$7, AG$2:AI$7)</f>
        <v>57.8</v>
      </c>
      <c r="P532">
        <v>-6.4299999999999996E-2</v>
      </c>
      <c r="Q532">
        <v>0</v>
      </c>
      <c r="R532">
        <f t="shared" si="106"/>
        <v>2.3242451391081744E-2</v>
      </c>
      <c r="S532" s="4">
        <f t="shared" si="107"/>
        <v>1</v>
      </c>
      <c r="T532">
        <f t="shared" si="108"/>
        <v>-1</v>
      </c>
      <c r="U532">
        <f t="shared" si="109"/>
        <v>-1</v>
      </c>
    </row>
    <row r="533" spans="1:21">
      <c r="A533" t="s">
        <v>371</v>
      </c>
      <c r="B533" t="s">
        <v>82</v>
      </c>
      <c r="C533" t="s">
        <v>407</v>
      </c>
      <c r="D533" s="1">
        <v>116.9</v>
      </c>
      <c r="E533" s="1">
        <f t="shared" si="98"/>
        <v>93.4</v>
      </c>
      <c r="F533">
        <v>6.9</v>
      </c>
      <c r="G533" s="1">
        <v>212</v>
      </c>
      <c r="H533">
        <f t="shared" si="99"/>
        <v>-86.5</v>
      </c>
      <c r="I533">
        <f t="shared" si="100"/>
        <v>-5.0882352941176467</v>
      </c>
      <c r="J533">
        <f t="shared" si="101"/>
        <v>0</v>
      </c>
      <c r="K533">
        <f t="shared" si="102"/>
        <v>0.94226603101549489</v>
      </c>
      <c r="L533">
        <f t="shared" si="103"/>
        <v>0</v>
      </c>
      <c r="M533" s="4">
        <f t="shared" si="104"/>
        <v>0</v>
      </c>
      <c r="N533">
        <f t="shared" si="105"/>
        <v>0</v>
      </c>
      <c r="O533" cm="1">
        <f t="array" ref="O533:Q533">_xlfn.XLOOKUP(C533, X$2:X$7, AG$2:AI$7)</f>
        <v>57.8</v>
      </c>
      <c r="P533">
        <v>-6.4299999999999996E-2</v>
      </c>
      <c r="Q533">
        <v>0</v>
      </c>
      <c r="R533">
        <f t="shared" si="106"/>
        <v>8.1071840954198608E-5</v>
      </c>
      <c r="S533" s="4">
        <f t="shared" si="107"/>
        <v>1</v>
      </c>
      <c r="T533">
        <f t="shared" si="108"/>
        <v>-1</v>
      </c>
      <c r="U533">
        <f t="shared" si="109"/>
        <v>-1</v>
      </c>
    </row>
    <row r="534" spans="1:21">
      <c r="A534" t="s">
        <v>384</v>
      </c>
      <c r="B534" t="s">
        <v>82</v>
      </c>
      <c r="C534" t="s">
        <v>407</v>
      </c>
      <c r="D534" s="1">
        <v>116.9</v>
      </c>
      <c r="E534" s="1">
        <f t="shared" si="98"/>
        <v>93.4</v>
      </c>
      <c r="F534">
        <v>6.3</v>
      </c>
      <c r="G534" s="1">
        <v>225</v>
      </c>
      <c r="H534">
        <f t="shared" si="99"/>
        <v>-87.100000000000009</v>
      </c>
      <c r="I534">
        <f t="shared" si="100"/>
        <v>-5.1235294117647063</v>
      </c>
      <c r="J534">
        <f t="shared" si="101"/>
        <v>0</v>
      </c>
      <c r="K534">
        <f t="shared" si="102"/>
        <v>0.94226603101549489</v>
      </c>
      <c r="L534">
        <f t="shared" si="103"/>
        <v>0</v>
      </c>
      <c r="M534" s="4">
        <f t="shared" si="104"/>
        <v>0</v>
      </c>
      <c r="N534">
        <f t="shared" si="105"/>
        <v>0</v>
      </c>
      <c r="O534" cm="1">
        <f t="array" ref="O534:Q534">_xlfn.XLOOKUP(C534, X$2:X$7, AG$2:AI$7)</f>
        <v>57.8</v>
      </c>
      <c r="P534">
        <v>-6.4299999999999996E-2</v>
      </c>
      <c r="Q534">
        <v>0</v>
      </c>
      <c r="R534">
        <f t="shared" si="106"/>
        <v>3.5143359691766672E-5</v>
      </c>
      <c r="S534" s="4">
        <f t="shared" si="107"/>
        <v>1</v>
      </c>
      <c r="T534">
        <f t="shared" si="108"/>
        <v>-1</v>
      </c>
      <c r="U534">
        <f t="shared" si="109"/>
        <v>-1</v>
      </c>
    </row>
    <row r="535" spans="1:21">
      <c r="A535" t="s">
        <v>108</v>
      </c>
      <c r="B535" t="s">
        <v>88</v>
      </c>
      <c r="C535" t="s">
        <v>159</v>
      </c>
      <c r="D535" s="1">
        <v>228</v>
      </c>
      <c r="E535" s="1">
        <f t="shared" si="98"/>
        <v>190</v>
      </c>
      <c r="F535">
        <v>44.7</v>
      </c>
      <c r="G535" s="1">
        <v>38</v>
      </c>
      <c r="H535">
        <f t="shared" si="99"/>
        <v>-145.30000000000001</v>
      </c>
      <c r="I535">
        <f t="shared" si="100"/>
        <v>-8.5470588235294116</v>
      </c>
      <c r="J535">
        <f t="shared" si="101"/>
        <v>0</v>
      </c>
      <c r="K535">
        <f t="shared" si="102"/>
        <v>0.57566309754037293</v>
      </c>
      <c r="L535">
        <f t="shared" si="103"/>
        <v>0</v>
      </c>
      <c r="M535" s="4">
        <f t="shared" si="104"/>
        <v>0</v>
      </c>
      <c r="N535">
        <f t="shared" si="105"/>
        <v>0</v>
      </c>
      <c r="O535" cm="1">
        <f t="array" ref="O535:Q535">_xlfn.XLOOKUP(C535, X$2:X$7, AG$2:AI$7)</f>
        <v>56.4</v>
      </c>
      <c r="P535">
        <v>-0.16300000000000001</v>
      </c>
      <c r="Q535">
        <v>0</v>
      </c>
      <c r="R535">
        <f t="shared" si="106"/>
        <v>0.13437854645952246</v>
      </c>
      <c r="S535" s="4">
        <f t="shared" si="107"/>
        <v>1</v>
      </c>
      <c r="T535">
        <f t="shared" si="108"/>
        <v>-1</v>
      </c>
      <c r="U535">
        <f t="shared" si="109"/>
        <v>-1</v>
      </c>
    </row>
    <row r="536" spans="1:21">
      <c r="A536" t="s">
        <v>139</v>
      </c>
      <c r="B536" t="s">
        <v>88</v>
      </c>
      <c r="C536" t="s">
        <v>159</v>
      </c>
      <c r="D536" s="1">
        <v>228</v>
      </c>
      <c r="E536" s="1">
        <f t="shared" si="98"/>
        <v>190</v>
      </c>
      <c r="F536">
        <v>14.6</v>
      </c>
      <c r="G536" s="1">
        <v>69</v>
      </c>
      <c r="H536">
        <f t="shared" si="99"/>
        <v>-175.4</v>
      </c>
      <c r="I536">
        <f t="shared" si="100"/>
        <v>-10.31764705882353</v>
      </c>
      <c r="J536">
        <f t="shared" si="101"/>
        <v>0</v>
      </c>
      <c r="K536">
        <f t="shared" si="102"/>
        <v>0.57566309754037293</v>
      </c>
      <c r="L536">
        <f t="shared" si="103"/>
        <v>0</v>
      </c>
      <c r="M536" s="4">
        <f t="shared" si="104"/>
        <v>0</v>
      </c>
      <c r="N536">
        <f t="shared" si="105"/>
        <v>0</v>
      </c>
      <c r="O536" cm="1">
        <f t="array" ref="O536:Q536">_xlfn.XLOOKUP(C536, X$2:X$7, AG$2:AI$7)</f>
        <v>56.4</v>
      </c>
      <c r="P536">
        <v>-0.16300000000000001</v>
      </c>
      <c r="Q536">
        <v>0</v>
      </c>
      <c r="R536">
        <f t="shared" si="106"/>
        <v>8.5869695341875176E-4</v>
      </c>
      <c r="S536" s="4">
        <f t="shared" si="107"/>
        <v>1</v>
      </c>
      <c r="T536">
        <f t="shared" si="108"/>
        <v>-1</v>
      </c>
      <c r="U536">
        <f t="shared" si="109"/>
        <v>-1</v>
      </c>
    </row>
    <row r="537" spans="1:21">
      <c r="A537" t="s">
        <v>481</v>
      </c>
      <c r="B537" t="s">
        <v>88</v>
      </c>
      <c r="C537" t="s">
        <v>586</v>
      </c>
      <c r="D537" s="1">
        <v>107.9</v>
      </c>
      <c r="E537" s="1">
        <f t="shared" si="98"/>
        <v>73</v>
      </c>
      <c r="F537">
        <v>45.4</v>
      </c>
      <c r="G537" s="1">
        <v>74</v>
      </c>
      <c r="H537">
        <f t="shared" si="99"/>
        <v>-27.6</v>
      </c>
      <c r="I537">
        <f t="shared" si="100"/>
        <v>-1.6235294117647059</v>
      </c>
      <c r="J537">
        <f t="shared" si="101"/>
        <v>0</v>
      </c>
      <c r="K537">
        <f t="shared" si="102"/>
        <v>1.0011070456397422</v>
      </c>
      <c r="L537">
        <f t="shared" si="103"/>
        <v>0</v>
      </c>
      <c r="M537" s="4">
        <f t="shared" si="104"/>
        <v>0</v>
      </c>
      <c r="N537">
        <f t="shared" si="105"/>
        <v>0</v>
      </c>
      <c r="O537" cm="1">
        <f t="array" ref="O537:Q537">_xlfn.XLOOKUP(C537, X$2:X$7, AG$2:AI$7)</f>
        <v>5.0900000000000001E-2</v>
      </c>
      <c r="P537">
        <v>-3.9</v>
      </c>
      <c r="Q537">
        <v>73.900000000000006</v>
      </c>
      <c r="R537">
        <f t="shared" si="106"/>
        <v>74.721142800000081</v>
      </c>
      <c r="S537" s="4">
        <f t="shared" si="107"/>
        <v>1</v>
      </c>
      <c r="T537">
        <f t="shared" si="108"/>
        <v>-1</v>
      </c>
      <c r="U537">
        <f t="shared" si="109"/>
        <v>-1</v>
      </c>
    </row>
    <row r="538" spans="1:21">
      <c r="A538" t="s">
        <v>488</v>
      </c>
      <c r="B538" t="s">
        <v>88</v>
      </c>
      <c r="C538" t="s">
        <v>586</v>
      </c>
      <c r="D538" s="1">
        <v>107.9</v>
      </c>
      <c r="E538" s="1">
        <f t="shared" si="98"/>
        <v>73</v>
      </c>
      <c r="F538">
        <v>38.6</v>
      </c>
      <c r="G538" s="1">
        <v>81</v>
      </c>
      <c r="H538">
        <f t="shared" si="99"/>
        <v>-34.4</v>
      </c>
      <c r="I538">
        <f t="shared" si="100"/>
        <v>-2.0235294117647058</v>
      </c>
      <c r="J538">
        <f t="shared" si="101"/>
        <v>0</v>
      </c>
      <c r="K538">
        <f t="shared" si="102"/>
        <v>1.0011070456397422</v>
      </c>
      <c r="L538">
        <f t="shared" si="103"/>
        <v>0</v>
      </c>
      <c r="M538" s="4">
        <f t="shared" si="104"/>
        <v>0</v>
      </c>
      <c r="N538">
        <f t="shared" si="105"/>
        <v>0</v>
      </c>
      <c r="O538" cm="1">
        <f t="array" ref="O538:Q538">_xlfn.XLOOKUP(C538, X$2:X$7, AG$2:AI$7)</f>
        <v>5.0900000000000001E-2</v>
      </c>
      <c r="P538">
        <v>-3.9</v>
      </c>
      <c r="Q538">
        <v>73.900000000000006</v>
      </c>
      <c r="R538">
        <f t="shared" si="106"/>
        <v>107.31136830000004</v>
      </c>
      <c r="S538" s="4">
        <f t="shared" si="107"/>
        <v>1</v>
      </c>
      <c r="T538">
        <f t="shared" si="108"/>
        <v>-1</v>
      </c>
      <c r="U538">
        <f t="shared" si="109"/>
        <v>-1</v>
      </c>
    </row>
    <row r="539" spans="1:21">
      <c r="A539" t="s">
        <v>522</v>
      </c>
      <c r="B539" t="s">
        <v>88</v>
      </c>
      <c r="C539" t="s">
        <v>586</v>
      </c>
      <c r="D539" s="1">
        <v>107.9</v>
      </c>
      <c r="E539" s="1">
        <f t="shared" si="98"/>
        <v>73</v>
      </c>
      <c r="F539">
        <v>21.1</v>
      </c>
      <c r="G539" s="1">
        <v>116</v>
      </c>
      <c r="H539">
        <f t="shared" si="99"/>
        <v>-51.9</v>
      </c>
      <c r="I539">
        <f t="shared" si="100"/>
        <v>-3.052941176470588</v>
      </c>
      <c r="J539">
        <f t="shared" si="101"/>
        <v>0</v>
      </c>
      <c r="K539">
        <f t="shared" si="102"/>
        <v>1.0011070456397422</v>
      </c>
      <c r="L539">
        <f t="shared" si="103"/>
        <v>0</v>
      </c>
      <c r="M539" s="4">
        <f t="shared" si="104"/>
        <v>0</v>
      </c>
      <c r="N539">
        <f t="shared" si="105"/>
        <v>0</v>
      </c>
      <c r="O539" cm="1">
        <f t="array" ref="O539:Q539">_xlfn.XLOOKUP(C539, X$2:X$7, AG$2:AI$7)</f>
        <v>5.0900000000000001E-2</v>
      </c>
      <c r="P539">
        <v>-3.9</v>
      </c>
      <c r="Q539">
        <v>73.900000000000006</v>
      </c>
      <c r="R539">
        <f t="shared" si="106"/>
        <v>357.58093680000002</v>
      </c>
      <c r="S539" s="4">
        <f t="shared" si="107"/>
        <v>1</v>
      </c>
      <c r="T539">
        <f t="shared" si="108"/>
        <v>-1</v>
      </c>
      <c r="U539">
        <f t="shared" si="109"/>
        <v>-1</v>
      </c>
    </row>
    <row r="540" spans="1:21">
      <c r="A540" t="s">
        <v>530</v>
      </c>
      <c r="B540" t="s">
        <v>88</v>
      </c>
      <c r="C540" t="s">
        <v>586</v>
      </c>
      <c r="D540" s="1">
        <v>107.9</v>
      </c>
      <c r="E540" s="1">
        <f t="shared" si="98"/>
        <v>73</v>
      </c>
      <c r="F540">
        <v>17.8</v>
      </c>
      <c r="G540" s="1">
        <v>124</v>
      </c>
      <c r="H540">
        <f t="shared" si="99"/>
        <v>-55.2</v>
      </c>
      <c r="I540">
        <f t="shared" si="100"/>
        <v>-3.2470588235294118</v>
      </c>
      <c r="J540">
        <f t="shared" si="101"/>
        <v>0</v>
      </c>
      <c r="K540">
        <f t="shared" si="102"/>
        <v>1.0011070456397422</v>
      </c>
      <c r="L540">
        <f t="shared" si="103"/>
        <v>0</v>
      </c>
      <c r="M540" s="4">
        <f t="shared" si="104"/>
        <v>0</v>
      </c>
      <c r="N540">
        <f t="shared" si="105"/>
        <v>0</v>
      </c>
      <c r="O540" cm="1">
        <f t="array" ref="O540:Q540">_xlfn.XLOOKUP(C540, X$2:X$7, AG$2:AI$7)</f>
        <v>5.0900000000000001E-2</v>
      </c>
      <c r="P540">
        <v>-3.9</v>
      </c>
      <c r="Q540">
        <v>73.900000000000006</v>
      </c>
      <c r="R540">
        <f t="shared" si="106"/>
        <v>435.21911280000018</v>
      </c>
      <c r="S540" s="4">
        <f t="shared" si="107"/>
        <v>1</v>
      </c>
      <c r="T540">
        <f t="shared" si="108"/>
        <v>-1</v>
      </c>
      <c r="U540">
        <f t="shared" si="109"/>
        <v>-1</v>
      </c>
    </row>
    <row r="541" spans="1:21">
      <c r="A541" t="s">
        <v>559</v>
      </c>
      <c r="B541" t="s">
        <v>88</v>
      </c>
      <c r="C541" t="s">
        <v>586</v>
      </c>
      <c r="D541" s="1">
        <v>107.9</v>
      </c>
      <c r="E541" s="1">
        <f t="shared" si="98"/>
        <v>73</v>
      </c>
      <c r="F541">
        <v>8.9</v>
      </c>
      <c r="G541" s="1">
        <v>154</v>
      </c>
      <c r="H541">
        <f t="shared" si="99"/>
        <v>-64.099999999999994</v>
      </c>
      <c r="I541">
        <f t="shared" si="100"/>
        <v>-3.7705882352941171</v>
      </c>
      <c r="J541">
        <f t="shared" si="101"/>
        <v>0</v>
      </c>
      <c r="K541">
        <f t="shared" si="102"/>
        <v>1.0011070456397422</v>
      </c>
      <c r="L541">
        <f t="shared" si="103"/>
        <v>0</v>
      </c>
      <c r="M541" s="4">
        <f t="shared" si="104"/>
        <v>0</v>
      </c>
      <c r="N541">
        <f t="shared" si="105"/>
        <v>0</v>
      </c>
      <c r="O541" cm="1">
        <f t="array" ref="O541:Q541">_xlfn.XLOOKUP(C541, X$2:X$7, AG$2:AI$7)</f>
        <v>5.0900000000000001E-2</v>
      </c>
      <c r="P541">
        <v>-3.9</v>
      </c>
      <c r="Q541">
        <v>73.900000000000006</v>
      </c>
      <c r="R541">
        <f t="shared" si="106"/>
        <v>794.07861480000008</v>
      </c>
      <c r="S541" s="4">
        <f t="shared" si="107"/>
        <v>1</v>
      </c>
      <c r="T541">
        <f t="shared" si="108"/>
        <v>-1</v>
      </c>
      <c r="U541">
        <f t="shared" si="109"/>
        <v>-1</v>
      </c>
    </row>
    <row r="542" spans="1:21">
      <c r="A542" t="s">
        <v>566</v>
      </c>
      <c r="B542" t="s">
        <v>88</v>
      </c>
      <c r="C542" t="s">
        <v>586</v>
      </c>
      <c r="D542" s="1">
        <v>107.9</v>
      </c>
      <c r="E542" s="1">
        <f t="shared" si="98"/>
        <v>73</v>
      </c>
      <c r="F542">
        <v>7</v>
      </c>
      <c r="G542" s="1">
        <v>161</v>
      </c>
      <c r="H542">
        <f t="shared" si="99"/>
        <v>-66</v>
      </c>
      <c r="I542">
        <f t="shared" si="100"/>
        <v>-3.8823529411764706</v>
      </c>
      <c r="J542">
        <f t="shared" si="101"/>
        <v>0</v>
      </c>
      <c r="K542">
        <f t="shared" si="102"/>
        <v>1.0011070456397422</v>
      </c>
      <c r="L542">
        <f t="shared" si="103"/>
        <v>0</v>
      </c>
      <c r="M542" s="4">
        <f t="shared" si="104"/>
        <v>0</v>
      </c>
      <c r="N542">
        <f t="shared" si="105"/>
        <v>0</v>
      </c>
      <c r="O542" cm="1">
        <f t="array" ref="O542:Q542">_xlfn.XLOOKUP(C542, X$2:X$7, AG$2:AI$7)</f>
        <v>5.0900000000000001E-2</v>
      </c>
      <c r="P542">
        <v>-3.9</v>
      </c>
      <c r="Q542">
        <v>73.900000000000006</v>
      </c>
      <c r="R542">
        <f t="shared" si="106"/>
        <v>893.19717629999991</v>
      </c>
      <c r="S542" s="4">
        <f t="shared" si="107"/>
        <v>1</v>
      </c>
      <c r="T542">
        <f t="shared" si="108"/>
        <v>-1</v>
      </c>
      <c r="U542">
        <f t="shared" si="109"/>
        <v>-1</v>
      </c>
    </row>
    <row r="543" spans="1:21">
      <c r="A543" t="s">
        <v>622</v>
      </c>
      <c r="B543" t="s">
        <v>88</v>
      </c>
      <c r="C543" t="s">
        <v>729</v>
      </c>
      <c r="D543" s="1">
        <v>99</v>
      </c>
      <c r="E543" s="1">
        <f t="shared" si="98"/>
        <v>82.5</v>
      </c>
      <c r="F543">
        <v>54</v>
      </c>
      <c r="G543" s="1">
        <v>36</v>
      </c>
      <c r="H543">
        <f t="shared" si="99"/>
        <v>-28.5</v>
      </c>
      <c r="I543">
        <f t="shared" si="100"/>
        <v>-1.6764705882352942</v>
      </c>
      <c r="J543">
        <f t="shared" si="101"/>
        <v>0</v>
      </c>
      <c r="K543">
        <f t="shared" si="102"/>
        <v>1.0909252297006058</v>
      </c>
      <c r="L543">
        <f t="shared" si="103"/>
        <v>0</v>
      </c>
      <c r="M543" s="4">
        <f t="shared" si="104"/>
        <v>0</v>
      </c>
      <c r="N543">
        <f t="shared" si="105"/>
        <v>0</v>
      </c>
      <c r="O543" cm="1">
        <f t="array" ref="O543:Q543">_xlfn.XLOOKUP(C543, X$2:X$7, AG$2:AI$7)</f>
        <v>55.4</v>
      </c>
      <c r="P543">
        <v>-0.253</v>
      </c>
      <c r="Q543">
        <v>0</v>
      </c>
      <c r="R543">
        <f t="shared" si="106"/>
        <v>7.1618707590340776E-3</v>
      </c>
      <c r="S543" s="4">
        <f t="shared" si="107"/>
        <v>1</v>
      </c>
      <c r="T543">
        <f t="shared" si="108"/>
        <v>-1</v>
      </c>
      <c r="U543">
        <f t="shared" si="109"/>
        <v>-1</v>
      </c>
    </row>
    <row r="544" spans="1:21">
      <c r="A544" t="s">
        <v>694</v>
      </c>
      <c r="B544" t="s">
        <v>88</v>
      </c>
      <c r="C544" t="s">
        <v>729</v>
      </c>
      <c r="D544" s="1">
        <v>99</v>
      </c>
      <c r="E544" s="1">
        <f t="shared" si="98"/>
        <v>82.5</v>
      </c>
      <c r="F544">
        <v>12.2</v>
      </c>
      <c r="G544" s="1">
        <v>109</v>
      </c>
      <c r="H544">
        <f t="shared" si="99"/>
        <v>-70.3</v>
      </c>
      <c r="I544">
        <f t="shared" si="100"/>
        <v>-4.1352941176470583</v>
      </c>
      <c r="J544">
        <f t="shared" si="101"/>
        <v>0</v>
      </c>
      <c r="K544">
        <f t="shared" si="102"/>
        <v>1.0909252297006058</v>
      </c>
      <c r="L544">
        <f t="shared" si="103"/>
        <v>0</v>
      </c>
      <c r="M544" s="4">
        <f t="shared" si="104"/>
        <v>0</v>
      </c>
      <c r="N544">
        <f t="shared" si="105"/>
        <v>0</v>
      </c>
      <c r="O544" cm="1">
        <f t="array" ref="O544:Q544">_xlfn.XLOOKUP(C544, X$2:X$7, AG$2:AI$7)</f>
        <v>55.4</v>
      </c>
      <c r="P544">
        <v>-0.253</v>
      </c>
      <c r="Q544">
        <v>0</v>
      </c>
      <c r="R544">
        <f t="shared" si="106"/>
        <v>6.8240420346236309E-11</v>
      </c>
      <c r="S544" s="4">
        <f t="shared" si="107"/>
        <v>1</v>
      </c>
      <c r="T544">
        <f t="shared" si="108"/>
        <v>-1</v>
      </c>
      <c r="U544">
        <f t="shared" si="109"/>
        <v>-1</v>
      </c>
    </row>
    <row r="545" spans="1:21">
      <c r="A545" t="s">
        <v>713</v>
      </c>
      <c r="B545" t="s">
        <v>88</v>
      </c>
      <c r="C545" t="s">
        <v>729</v>
      </c>
      <c r="D545" s="1">
        <v>99</v>
      </c>
      <c r="E545" s="1">
        <f t="shared" si="98"/>
        <v>82.5</v>
      </c>
      <c r="F545">
        <v>6.2</v>
      </c>
      <c r="G545" s="1">
        <v>129</v>
      </c>
      <c r="H545">
        <f t="shared" si="99"/>
        <v>-76.3</v>
      </c>
      <c r="I545">
        <f t="shared" si="100"/>
        <v>-4.4882352941176471</v>
      </c>
      <c r="J545">
        <f t="shared" si="101"/>
        <v>0</v>
      </c>
      <c r="K545">
        <f t="shared" si="102"/>
        <v>1.0909252297006058</v>
      </c>
      <c r="L545">
        <f t="shared" si="103"/>
        <v>0</v>
      </c>
      <c r="M545" s="4">
        <f t="shared" si="104"/>
        <v>0</v>
      </c>
      <c r="N545">
        <f t="shared" si="105"/>
        <v>0</v>
      </c>
      <c r="O545" cm="1">
        <f t="array" ref="O545:Q545">_xlfn.XLOOKUP(C545, X$2:X$7, AG$2:AI$7)</f>
        <v>55.4</v>
      </c>
      <c r="P545">
        <v>-0.253</v>
      </c>
      <c r="Q545">
        <v>0</v>
      </c>
      <c r="R545">
        <f t="shared" si="106"/>
        <v>4.3302364849297703E-13</v>
      </c>
      <c r="S545" s="4">
        <f t="shared" si="107"/>
        <v>1</v>
      </c>
      <c r="T545">
        <f t="shared" si="108"/>
        <v>-1</v>
      </c>
      <c r="U545">
        <f t="shared" si="109"/>
        <v>-1</v>
      </c>
    </row>
    <row r="546" spans="1:21">
      <c r="A546" t="s">
        <v>315</v>
      </c>
      <c r="B546" t="s">
        <v>88</v>
      </c>
      <c r="C546" t="s">
        <v>407</v>
      </c>
      <c r="D546" s="1">
        <v>116.9</v>
      </c>
      <c r="E546" s="1">
        <f t="shared" si="98"/>
        <v>93.4</v>
      </c>
      <c r="F546">
        <v>18.399999999999999</v>
      </c>
      <c r="G546" s="1">
        <v>156</v>
      </c>
      <c r="H546">
        <f t="shared" si="99"/>
        <v>-75</v>
      </c>
      <c r="I546">
        <f t="shared" si="100"/>
        <v>-4.4117647058823533</v>
      </c>
      <c r="J546">
        <f t="shared" si="101"/>
        <v>0</v>
      </c>
      <c r="K546">
        <f t="shared" si="102"/>
        <v>0.94226603101549489</v>
      </c>
      <c r="L546">
        <f t="shared" si="103"/>
        <v>0</v>
      </c>
      <c r="M546" s="4">
        <f t="shared" si="104"/>
        <v>0</v>
      </c>
      <c r="N546">
        <f t="shared" si="105"/>
        <v>0</v>
      </c>
      <c r="O546" cm="1">
        <f t="array" ref="O546:Q546">_xlfn.XLOOKUP(C546, X$2:X$7, AG$2:AI$7)</f>
        <v>57.8</v>
      </c>
      <c r="P546">
        <v>-6.4299999999999996E-2</v>
      </c>
      <c r="Q546">
        <v>0</v>
      </c>
      <c r="R546">
        <f t="shared" si="106"/>
        <v>2.9694608607367915E-3</v>
      </c>
      <c r="S546" s="4">
        <f t="shared" si="107"/>
        <v>1</v>
      </c>
      <c r="T546">
        <f t="shared" si="108"/>
        <v>-1</v>
      </c>
      <c r="U546">
        <f t="shared" si="109"/>
        <v>-1</v>
      </c>
    </row>
    <row r="547" spans="1:21">
      <c r="A547" t="s">
        <v>323</v>
      </c>
      <c r="B547" t="s">
        <v>88</v>
      </c>
      <c r="C547" t="s">
        <v>407</v>
      </c>
      <c r="D547" s="1">
        <v>116.9</v>
      </c>
      <c r="E547" s="1">
        <f t="shared" si="98"/>
        <v>93.4</v>
      </c>
      <c r="F547">
        <v>16.399999999999999</v>
      </c>
      <c r="G547" s="1">
        <v>164</v>
      </c>
      <c r="H547">
        <f t="shared" si="99"/>
        <v>-77</v>
      </c>
      <c r="I547">
        <f t="shared" si="100"/>
        <v>-4.5294117647058822</v>
      </c>
      <c r="J547">
        <f t="shared" si="101"/>
        <v>0</v>
      </c>
      <c r="K547">
        <f t="shared" si="102"/>
        <v>0.94226603101549489</v>
      </c>
      <c r="L547">
        <f t="shared" si="103"/>
        <v>0</v>
      </c>
      <c r="M547" s="4">
        <f t="shared" si="104"/>
        <v>0</v>
      </c>
      <c r="N547">
        <f t="shared" si="105"/>
        <v>0</v>
      </c>
      <c r="O547" cm="1">
        <f t="array" ref="O547:Q547">_xlfn.XLOOKUP(C547, X$2:X$7, AG$2:AI$7)</f>
        <v>57.8</v>
      </c>
      <c r="P547">
        <v>-6.4299999999999996E-2</v>
      </c>
      <c r="Q547">
        <v>0</v>
      </c>
      <c r="R547">
        <f t="shared" si="106"/>
        <v>1.7753195021935233E-3</v>
      </c>
      <c r="S547" s="4">
        <f t="shared" si="107"/>
        <v>1</v>
      </c>
      <c r="T547">
        <f t="shared" si="108"/>
        <v>-1</v>
      </c>
      <c r="U547">
        <f t="shared" si="109"/>
        <v>-1</v>
      </c>
    </row>
    <row r="548" spans="1:21">
      <c r="A548" t="s">
        <v>331</v>
      </c>
      <c r="B548" t="s">
        <v>88</v>
      </c>
      <c r="C548" t="s">
        <v>407</v>
      </c>
      <c r="D548" s="1">
        <v>116.9</v>
      </c>
      <c r="E548" s="1">
        <f t="shared" si="98"/>
        <v>93.4</v>
      </c>
      <c r="F548">
        <v>12.5</v>
      </c>
      <c r="G548" s="1">
        <v>172</v>
      </c>
      <c r="H548">
        <f t="shared" si="99"/>
        <v>-80.900000000000006</v>
      </c>
      <c r="I548">
        <f t="shared" si="100"/>
        <v>-4.7588235294117647</v>
      </c>
      <c r="J548">
        <f t="shared" si="101"/>
        <v>0</v>
      </c>
      <c r="K548">
        <f t="shared" si="102"/>
        <v>0.94226603101549489</v>
      </c>
      <c r="L548">
        <f t="shared" si="103"/>
        <v>0</v>
      </c>
      <c r="M548" s="4">
        <f t="shared" si="104"/>
        <v>0</v>
      </c>
      <c r="N548">
        <f t="shared" si="105"/>
        <v>0</v>
      </c>
      <c r="O548" cm="1">
        <f t="array" ref="O548:Q548">_xlfn.XLOOKUP(C548, X$2:X$7, AG$2:AI$7)</f>
        <v>57.8</v>
      </c>
      <c r="P548">
        <v>-6.4299999999999996E-2</v>
      </c>
      <c r="Q548">
        <v>0</v>
      </c>
      <c r="R548">
        <f t="shared" si="106"/>
        <v>1.0613911018468975E-3</v>
      </c>
      <c r="S548" s="4">
        <f t="shared" si="107"/>
        <v>1</v>
      </c>
      <c r="T548">
        <f t="shared" si="108"/>
        <v>-1</v>
      </c>
      <c r="U548">
        <f t="shared" si="109"/>
        <v>-1</v>
      </c>
    </row>
    <row r="549" spans="1:21">
      <c r="A549" t="s">
        <v>375</v>
      </c>
      <c r="B549" t="s">
        <v>88</v>
      </c>
      <c r="C549" t="s">
        <v>407</v>
      </c>
      <c r="D549" s="1">
        <v>116.9</v>
      </c>
      <c r="E549" s="1">
        <f t="shared" si="98"/>
        <v>93.4</v>
      </c>
      <c r="F549">
        <v>6.7</v>
      </c>
      <c r="G549" s="1">
        <v>216</v>
      </c>
      <c r="H549">
        <f t="shared" si="99"/>
        <v>-86.7</v>
      </c>
      <c r="I549">
        <f t="shared" si="100"/>
        <v>-5.1000000000000005</v>
      </c>
      <c r="J549">
        <f t="shared" si="101"/>
        <v>0</v>
      </c>
      <c r="K549">
        <f t="shared" si="102"/>
        <v>0.94226603101549489</v>
      </c>
      <c r="L549">
        <f t="shared" si="103"/>
        <v>0</v>
      </c>
      <c r="M549" s="4">
        <f t="shared" si="104"/>
        <v>0</v>
      </c>
      <c r="N549">
        <f t="shared" si="105"/>
        <v>0</v>
      </c>
      <c r="O549" cm="1">
        <f t="array" ref="O549:Q549">_xlfn.XLOOKUP(C549, X$2:X$7, AG$2:AI$7)</f>
        <v>57.8</v>
      </c>
      <c r="P549">
        <v>-6.4299999999999996E-2</v>
      </c>
      <c r="Q549">
        <v>0</v>
      </c>
      <c r="R549">
        <f t="shared" si="106"/>
        <v>6.2685846402344127E-5</v>
      </c>
      <c r="S549" s="4">
        <f t="shared" si="107"/>
        <v>1</v>
      </c>
      <c r="T549">
        <f t="shared" si="108"/>
        <v>-1</v>
      </c>
      <c r="U549">
        <f t="shared" si="109"/>
        <v>-1</v>
      </c>
    </row>
    <row r="550" spans="1:21">
      <c r="A550" t="s">
        <v>378</v>
      </c>
      <c r="B550" t="s">
        <v>88</v>
      </c>
      <c r="C550" t="s">
        <v>407</v>
      </c>
      <c r="D550" s="1">
        <v>116.9</v>
      </c>
      <c r="E550" s="1">
        <f t="shared" si="98"/>
        <v>93.4</v>
      </c>
      <c r="F550">
        <v>6.5</v>
      </c>
      <c r="G550" s="1">
        <v>219</v>
      </c>
      <c r="H550">
        <f t="shared" si="99"/>
        <v>-86.9</v>
      </c>
      <c r="I550">
        <f t="shared" si="100"/>
        <v>-5.1117647058823534</v>
      </c>
      <c r="J550">
        <f t="shared" si="101"/>
        <v>0</v>
      </c>
      <c r="K550">
        <f t="shared" si="102"/>
        <v>0.94226603101549489</v>
      </c>
      <c r="L550">
        <f t="shared" si="103"/>
        <v>0</v>
      </c>
      <c r="M550" s="4">
        <f t="shared" si="104"/>
        <v>0</v>
      </c>
      <c r="N550">
        <f t="shared" si="105"/>
        <v>0</v>
      </c>
      <c r="O550" cm="1">
        <f t="array" ref="O550:Q550">_xlfn.XLOOKUP(C550, X$2:X$7, AG$2:AI$7)</f>
        <v>57.8</v>
      </c>
      <c r="P550">
        <v>-6.4299999999999996E-2</v>
      </c>
      <c r="Q550">
        <v>0</v>
      </c>
      <c r="R550">
        <f t="shared" si="106"/>
        <v>5.1688518985850203E-5</v>
      </c>
      <c r="S550" s="4">
        <f t="shared" si="107"/>
        <v>1</v>
      </c>
      <c r="T550">
        <f t="shared" si="108"/>
        <v>-1</v>
      </c>
      <c r="U550">
        <f t="shared" si="109"/>
        <v>-1</v>
      </c>
    </row>
    <row r="551" spans="1:21">
      <c r="A551" t="s">
        <v>112</v>
      </c>
      <c r="B551" t="s">
        <v>68</v>
      </c>
      <c r="C551" t="s">
        <v>159</v>
      </c>
      <c r="D551" s="1">
        <v>228</v>
      </c>
      <c r="E551" s="1">
        <f t="shared" si="98"/>
        <v>190</v>
      </c>
      <c r="F551">
        <v>33</v>
      </c>
      <c r="G551" s="1">
        <v>42</v>
      </c>
      <c r="H551">
        <f t="shared" si="99"/>
        <v>-157</v>
      </c>
      <c r="I551">
        <f t="shared" si="100"/>
        <v>-9.235294117647058</v>
      </c>
      <c r="J551">
        <f t="shared" si="101"/>
        <v>0</v>
      </c>
      <c r="K551">
        <f t="shared" si="102"/>
        <v>0.57566309754037293</v>
      </c>
      <c r="L551">
        <f t="shared" si="103"/>
        <v>0</v>
      </c>
      <c r="M551" s="4">
        <f t="shared" si="104"/>
        <v>0</v>
      </c>
      <c r="N551">
        <f t="shared" si="105"/>
        <v>0</v>
      </c>
      <c r="O551" cm="1">
        <f t="array" ref="O551:Q551">_xlfn.XLOOKUP(C551, X$2:X$7, AG$2:AI$7)</f>
        <v>56.4</v>
      </c>
      <c r="P551">
        <v>-0.16300000000000001</v>
      </c>
      <c r="Q551">
        <v>0</v>
      </c>
      <c r="R551">
        <f t="shared" si="106"/>
        <v>7.0011589371161143E-2</v>
      </c>
      <c r="S551" s="4">
        <f t="shared" si="107"/>
        <v>1</v>
      </c>
      <c r="T551">
        <f t="shared" si="108"/>
        <v>-1</v>
      </c>
      <c r="U551">
        <f t="shared" si="109"/>
        <v>-1</v>
      </c>
    </row>
    <row r="552" spans="1:21">
      <c r="A552" t="s">
        <v>148</v>
      </c>
      <c r="B552" t="s">
        <v>68</v>
      </c>
      <c r="C552" t="s">
        <v>159</v>
      </c>
      <c r="D552" s="1">
        <v>228</v>
      </c>
      <c r="E552" s="1">
        <f t="shared" si="98"/>
        <v>190</v>
      </c>
      <c r="F552">
        <v>9.1</v>
      </c>
      <c r="G552" s="1">
        <v>78</v>
      </c>
      <c r="H552">
        <f t="shared" si="99"/>
        <v>-180.9</v>
      </c>
      <c r="I552">
        <f t="shared" si="100"/>
        <v>-10.641176470588235</v>
      </c>
      <c r="J552">
        <f t="shared" si="101"/>
        <v>0</v>
      </c>
      <c r="K552">
        <f t="shared" si="102"/>
        <v>0.57566309754037293</v>
      </c>
      <c r="L552">
        <f t="shared" si="103"/>
        <v>0</v>
      </c>
      <c r="M552" s="4">
        <f t="shared" si="104"/>
        <v>0</v>
      </c>
      <c r="N552">
        <f t="shared" si="105"/>
        <v>0</v>
      </c>
      <c r="O552" cm="1">
        <f t="array" ref="O552:Q552">_xlfn.XLOOKUP(C552, X$2:X$7, AG$2:AI$7)</f>
        <v>56.4</v>
      </c>
      <c r="P552">
        <v>-0.16300000000000001</v>
      </c>
      <c r="Q552">
        <v>0</v>
      </c>
      <c r="R552">
        <f t="shared" si="106"/>
        <v>1.9802951193663906E-4</v>
      </c>
      <c r="S552" s="4">
        <f t="shared" si="107"/>
        <v>1</v>
      </c>
      <c r="T552">
        <f t="shared" si="108"/>
        <v>-1</v>
      </c>
      <c r="U552">
        <f t="shared" si="109"/>
        <v>-1</v>
      </c>
    </row>
    <row r="553" spans="1:21">
      <c r="A553" t="s">
        <v>528</v>
      </c>
      <c r="B553" t="s">
        <v>68</v>
      </c>
      <c r="C553" t="s">
        <v>586</v>
      </c>
      <c r="D553" s="1">
        <v>107.9</v>
      </c>
      <c r="E553" s="1">
        <f t="shared" si="98"/>
        <v>73</v>
      </c>
      <c r="F553">
        <v>18.100000000000001</v>
      </c>
      <c r="G553" s="1">
        <v>122</v>
      </c>
      <c r="H553">
        <f t="shared" si="99"/>
        <v>-54.9</v>
      </c>
      <c r="I553">
        <f t="shared" si="100"/>
        <v>-3.2294117647058824</v>
      </c>
      <c r="J553">
        <f t="shared" si="101"/>
        <v>0</v>
      </c>
      <c r="K553">
        <f t="shared" si="102"/>
        <v>1.0011070456397422</v>
      </c>
      <c r="L553">
        <f t="shared" si="103"/>
        <v>0</v>
      </c>
      <c r="M553" s="4">
        <f t="shared" si="104"/>
        <v>0</v>
      </c>
      <c r="N553">
        <f t="shared" si="105"/>
        <v>0</v>
      </c>
      <c r="O553" cm="1">
        <f t="array" ref="O553:Q553">_xlfn.XLOOKUP(C553, X$2:X$7, AG$2:AI$7)</f>
        <v>5.0900000000000001E-2</v>
      </c>
      <c r="P553">
        <v>-3.9</v>
      </c>
      <c r="Q553">
        <v>73.900000000000006</v>
      </c>
      <c r="R553">
        <f t="shared" si="106"/>
        <v>415.09676520000005</v>
      </c>
      <c r="S553" s="4">
        <f t="shared" si="107"/>
        <v>1</v>
      </c>
      <c r="T553">
        <f t="shared" si="108"/>
        <v>-1</v>
      </c>
      <c r="U553">
        <f t="shared" si="109"/>
        <v>-1</v>
      </c>
    </row>
    <row r="554" spans="1:21">
      <c r="A554" t="s">
        <v>534</v>
      </c>
      <c r="B554" t="s">
        <v>68</v>
      </c>
      <c r="C554" t="s">
        <v>586</v>
      </c>
      <c r="D554" s="1">
        <v>107.9</v>
      </c>
      <c r="E554" s="1">
        <f t="shared" si="98"/>
        <v>73</v>
      </c>
      <c r="F554">
        <v>17</v>
      </c>
      <c r="G554" s="1">
        <v>128</v>
      </c>
      <c r="H554">
        <f t="shared" si="99"/>
        <v>-56</v>
      </c>
      <c r="I554">
        <f t="shared" si="100"/>
        <v>-3.2941176470588234</v>
      </c>
      <c r="J554">
        <f t="shared" si="101"/>
        <v>0</v>
      </c>
      <c r="K554">
        <f t="shared" si="102"/>
        <v>1.0011070456397422</v>
      </c>
      <c r="L554">
        <f t="shared" si="103"/>
        <v>0</v>
      </c>
      <c r="M554" s="4">
        <f t="shared" si="104"/>
        <v>0</v>
      </c>
      <c r="N554">
        <f t="shared" si="105"/>
        <v>0</v>
      </c>
      <c r="O554" cm="1">
        <f t="array" ref="O554:Q554">_xlfn.XLOOKUP(C554, X$2:X$7, AG$2:AI$7)</f>
        <v>5.0900000000000001E-2</v>
      </c>
      <c r="P554">
        <v>-3.9</v>
      </c>
      <c r="Q554">
        <v>73.900000000000006</v>
      </c>
      <c r="R554">
        <f t="shared" si="106"/>
        <v>476.88941520000009</v>
      </c>
      <c r="S554" s="4">
        <f t="shared" si="107"/>
        <v>1</v>
      </c>
      <c r="T554">
        <f t="shared" si="108"/>
        <v>-1</v>
      </c>
      <c r="U554">
        <f t="shared" si="109"/>
        <v>-1</v>
      </c>
    </row>
    <row r="555" spans="1:21">
      <c r="A555" t="s">
        <v>537</v>
      </c>
      <c r="B555" t="s">
        <v>68</v>
      </c>
      <c r="C555" t="s">
        <v>586</v>
      </c>
      <c r="D555" s="1">
        <v>107.9</v>
      </c>
      <c r="E555" s="1">
        <f t="shared" si="98"/>
        <v>73</v>
      </c>
      <c r="F555">
        <v>16.3</v>
      </c>
      <c r="G555" s="1">
        <v>132</v>
      </c>
      <c r="H555">
        <f t="shared" si="99"/>
        <v>-56.7</v>
      </c>
      <c r="I555">
        <f t="shared" si="100"/>
        <v>-3.335294117647059</v>
      </c>
      <c r="J555">
        <f t="shared" si="101"/>
        <v>0</v>
      </c>
      <c r="K555">
        <f t="shared" si="102"/>
        <v>1.0011070456397422</v>
      </c>
      <c r="L555">
        <f t="shared" si="103"/>
        <v>0</v>
      </c>
      <c r="M555" s="4">
        <f t="shared" si="104"/>
        <v>0</v>
      </c>
      <c r="N555">
        <f t="shared" si="105"/>
        <v>0</v>
      </c>
      <c r="O555" cm="1">
        <f t="array" ref="O555:Q555">_xlfn.XLOOKUP(C555, X$2:X$7, AG$2:AI$7)</f>
        <v>5.0900000000000001E-2</v>
      </c>
      <c r="P555">
        <v>-3.9</v>
      </c>
      <c r="Q555">
        <v>73.900000000000006</v>
      </c>
      <c r="R555">
        <f t="shared" si="106"/>
        <v>520.46052720000012</v>
      </c>
      <c r="S555" s="4">
        <f t="shared" si="107"/>
        <v>1</v>
      </c>
      <c r="T555">
        <f t="shared" si="108"/>
        <v>-1</v>
      </c>
      <c r="U555">
        <f t="shared" si="109"/>
        <v>-1</v>
      </c>
    </row>
    <row r="556" spans="1:21">
      <c r="A556" t="s">
        <v>634</v>
      </c>
      <c r="B556" t="s">
        <v>68</v>
      </c>
      <c r="C556" t="s">
        <v>729</v>
      </c>
      <c r="D556" s="1">
        <v>99</v>
      </c>
      <c r="E556" s="1">
        <f t="shared" si="98"/>
        <v>82.5</v>
      </c>
      <c r="F556">
        <v>36.9</v>
      </c>
      <c r="G556" s="1">
        <v>48</v>
      </c>
      <c r="H556">
        <f t="shared" si="99"/>
        <v>-45.6</v>
      </c>
      <c r="I556">
        <f t="shared" si="100"/>
        <v>-2.6823529411764708</v>
      </c>
      <c r="J556">
        <f t="shared" si="101"/>
        <v>0</v>
      </c>
      <c r="K556">
        <f t="shared" si="102"/>
        <v>1.0909252297006058</v>
      </c>
      <c r="L556">
        <f t="shared" si="103"/>
        <v>0</v>
      </c>
      <c r="M556" s="4">
        <f t="shared" si="104"/>
        <v>0</v>
      </c>
      <c r="N556">
        <f t="shared" si="105"/>
        <v>0</v>
      </c>
      <c r="O556" cm="1">
        <f t="array" ref="O556:Q556">_xlfn.XLOOKUP(C556, X$2:X$7, AG$2:AI$7)</f>
        <v>55.4</v>
      </c>
      <c r="P556">
        <v>-0.253</v>
      </c>
      <c r="Q556">
        <v>0</v>
      </c>
      <c r="R556">
        <f t="shared" si="106"/>
        <v>3.4396038987173866E-4</v>
      </c>
      <c r="S556" s="4">
        <f t="shared" si="107"/>
        <v>1</v>
      </c>
      <c r="T556">
        <f t="shared" si="108"/>
        <v>-1</v>
      </c>
      <c r="U556">
        <f t="shared" si="109"/>
        <v>-1</v>
      </c>
    </row>
    <row r="557" spans="1:21">
      <c r="A557" t="s">
        <v>651</v>
      </c>
      <c r="B557" t="s">
        <v>68</v>
      </c>
      <c r="C557" t="s">
        <v>729</v>
      </c>
      <c r="D557" s="1">
        <v>99</v>
      </c>
      <c r="E557" s="1">
        <f t="shared" si="98"/>
        <v>82.5</v>
      </c>
      <c r="F557">
        <v>26.9</v>
      </c>
      <c r="G557" s="1">
        <v>65</v>
      </c>
      <c r="H557">
        <f t="shared" si="99"/>
        <v>-55.6</v>
      </c>
      <c r="I557">
        <f t="shared" si="100"/>
        <v>-3.2705882352941176</v>
      </c>
      <c r="J557">
        <f t="shared" si="101"/>
        <v>0</v>
      </c>
      <c r="K557">
        <f t="shared" si="102"/>
        <v>1.0909252297006058</v>
      </c>
      <c r="L557">
        <f t="shared" si="103"/>
        <v>0</v>
      </c>
      <c r="M557" s="4">
        <f t="shared" si="104"/>
        <v>0</v>
      </c>
      <c r="N557">
        <f t="shared" si="105"/>
        <v>0</v>
      </c>
      <c r="O557" cm="1">
        <f t="array" ref="O557:Q557">_xlfn.XLOOKUP(C557, X$2:X$7, AG$2:AI$7)</f>
        <v>55.4</v>
      </c>
      <c r="P557">
        <v>-0.253</v>
      </c>
      <c r="Q557">
        <v>0</v>
      </c>
      <c r="R557">
        <f t="shared" si="106"/>
        <v>4.6623821337322684E-6</v>
      </c>
      <c r="S557" s="4">
        <f t="shared" si="107"/>
        <v>1</v>
      </c>
      <c r="T557">
        <f t="shared" si="108"/>
        <v>-1</v>
      </c>
      <c r="U557">
        <f t="shared" si="109"/>
        <v>-1</v>
      </c>
    </row>
    <row r="558" spans="1:21">
      <c r="A558" t="s">
        <v>655</v>
      </c>
      <c r="B558" t="s">
        <v>68</v>
      </c>
      <c r="C558" t="s">
        <v>729</v>
      </c>
      <c r="D558" s="1">
        <v>99</v>
      </c>
      <c r="E558" s="1">
        <f t="shared" si="98"/>
        <v>82.5</v>
      </c>
      <c r="F558">
        <v>25</v>
      </c>
      <c r="G558" s="1">
        <v>69</v>
      </c>
      <c r="H558">
        <f t="shared" si="99"/>
        <v>-57.5</v>
      </c>
      <c r="I558">
        <f t="shared" si="100"/>
        <v>-3.3823529411764706</v>
      </c>
      <c r="J558">
        <f t="shared" si="101"/>
        <v>0</v>
      </c>
      <c r="K558">
        <f t="shared" si="102"/>
        <v>1.0909252297006058</v>
      </c>
      <c r="L558">
        <f t="shared" si="103"/>
        <v>0</v>
      </c>
      <c r="M558" s="4">
        <f t="shared" si="104"/>
        <v>0</v>
      </c>
      <c r="N558">
        <f t="shared" si="105"/>
        <v>0</v>
      </c>
      <c r="O558" cm="1">
        <f t="array" ref="O558:Q558">_xlfn.XLOOKUP(C558, X$2:X$7, AG$2:AI$7)</f>
        <v>55.4</v>
      </c>
      <c r="P558">
        <v>-0.253</v>
      </c>
      <c r="Q558">
        <v>0</v>
      </c>
      <c r="R558">
        <f t="shared" si="106"/>
        <v>1.6947352009873137E-6</v>
      </c>
      <c r="S558" s="4">
        <f t="shared" si="107"/>
        <v>1</v>
      </c>
      <c r="T558">
        <f t="shared" si="108"/>
        <v>-1</v>
      </c>
      <c r="U558">
        <f t="shared" si="109"/>
        <v>-1</v>
      </c>
    </row>
    <row r="559" spans="1:21">
      <c r="A559" t="s">
        <v>679</v>
      </c>
      <c r="B559" t="s">
        <v>68</v>
      </c>
      <c r="C559" t="s">
        <v>729</v>
      </c>
      <c r="D559" s="1">
        <v>99</v>
      </c>
      <c r="E559" s="1">
        <f t="shared" si="98"/>
        <v>82.5</v>
      </c>
      <c r="F559">
        <v>16</v>
      </c>
      <c r="G559" s="1">
        <v>93</v>
      </c>
      <c r="H559">
        <f t="shared" si="99"/>
        <v>-66.5</v>
      </c>
      <c r="I559">
        <f t="shared" si="100"/>
        <v>-3.9117647058823528</v>
      </c>
      <c r="J559">
        <f t="shared" si="101"/>
        <v>0</v>
      </c>
      <c r="K559">
        <f t="shared" si="102"/>
        <v>1.0909252297006058</v>
      </c>
      <c r="L559">
        <f t="shared" si="103"/>
        <v>0</v>
      </c>
      <c r="M559" s="4">
        <f t="shared" si="104"/>
        <v>0</v>
      </c>
      <c r="N559">
        <f t="shared" si="105"/>
        <v>0</v>
      </c>
      <c r="O559" cm="1">
        <f t="array" ref="O559:Q559">_xlfn.XLOOKUP(C559, X$2:X$7, AG$2:AI$7)</f>
        <v>55.4</v>
      </c>
      <c r="P559">
        <v>-0.253</v>
      </c>
      <c r="Q559">
        <v>0</v>
      </c>
      <c r="R559">
        <f t="shared" si="106"/>
        <v>3.9090007708284921E-9</v>
      </c>
      <c r="S559" s="4">
        <f t="shared" si="107"/>
        <v>1</v>
      </c>
      <c r="T559">
        <f t="shared" si="108"/>
        <v>-1</v>
      </c>
      <c r="U559">
        <f t="shared" si="109"/>
        <v>-1</v>
      </c>
    </row>
    <row r="560" spans="1:21">
      <c r="A560" t="s">
        <v>709</v>
      </c>
      <c r="B560" t="s">
        <v>68</v>
      </c>
      <c r="C560" t="s">
        <v>729</v>
      </c>
      <c r="D560" s="1">
        <v>99</v>
      </c>
      <c r="E560" s="1">
        <f t="shared" si="98"/>
        <v>82.5</v>
      </c>
      <c r="F560">
        <v>7.4</v>
      </c>
      <c r="G560" s="1">
        <v>125</v>
      </c>
      <c r="H560">
        <f t="shared" si="99"/>
        <v>-75.099999999999994</v>
      </c>
      <c r="I560">
        <f t="shared" si="100"/>
        <v>-4.4176470588235288</v>
      </c>
      <c r="J560">
        <f t="shared" si="101"/>
        <v>0</v>
      </c>
      <c r="K560">
        <f t="shared" si="102"/>
        <v>1.0909252297006058</v>
      </c>
      <c r="L560">
        <f t="shared" si="103"/>
        <v>0</v>
      </c>
      <c r="M560" s="4">
        <f t="shared" si="104"/>
        <v>0</v>
      </c>
      <c r="N560">
        <f t="shared" si="105"/>
        <v>0</v>
      </c>
      <c r="O560" cm="1">
        <f t="array" ref="O560:Q560">_xlfn.XLOOKUP(C560, X$2:X$7, AG$2:AI$7)</f>
        <v>55.4</v>
      </c>
      <c r="P560">
        <v>-0.253</v>
      </c>
      <c r="Q560">
        <v>0</v>
      </c>
      <c r="R560">
        <f t="shared" si="106"/>
        <v>1.191290368572648E-12</v>
      </c>
      <c r="S560" s="4">
        <f t="shared" si="107"/>
        <v>1</v>
      </c>
      <c r="T560">
        <f t="shared" si="108"/>
        <v>-1</v>
      </c>
      <c r="U560">
        <f t="shared" si="109"/>
        <v>-1</v>
      </c>
    </row>
    <row r="561" spans="1:21">
      <c r="A561" t="s">
        <v>263</v>
      </c>
      <c r="B561" t="s">
        <v>68</v>
      </c>
      <c r="C561" t="s">
        <v>407</v>
      </c>
      <c r="D561" s="1">
        <v>116.9</v>
      </c>
      <c r="E561" s="1">
        <f t="shared" si="98"/>
        <v>93.4</v>
      </c>
      <c r="F561">
        <v>58.5</v>
      </c>
      <c r="G561" s="1">
        <v>104</v>
      </c>
      <c r="H561">
        <f t="shared" si="99"/>
        <v>-34.900000000000006</v>
      </c>
      <c r="I561">
        <f t="shared" si="100"/>
        <v>-2.0529411764705885</v>
      </c>
      <c r="J561">
        <f t="shared" si="101"/>
        <v>0</v>
      </c>
      <c r="K561">
        <f t="shared" si="102"/>
        <v>0.94226603101549489</v>
      </c>
      <c r="L561">
        <f t="shared" si="103"/>
        <v>0</v>
      </c>
      <c r="M561" s="4">
        <f t="shared" si="104"/>
        <v>0</v>
      </c>
      <c r="N561">
        <f t="shared" si="105"/>
        <v>0</v>
      </c>
      <c r="O561" cm="1">
        <f t="array" ref="O561:Q561">_xlfn.XLOOKUP(C561, X$2:X$7, AG$2:AI$7)</f>
        <v>57.8</v>
      </c>
      <c r="P561">
        <v>-6.4299999999999996E-2</v>
      </c>
      <c r="Q561">
        <v>0</v>
      </c>
      <c r="R561">
        <f t="shared" si="106"/>
        <v>8.4097800055695712E-2</v>
      </c>
      <c r="S561" s="4">
        <f t="shared" si="107"/>
        <v>1</v>
      </c>
      <c r="T561">
        <f t="shared" si="108"/>
        <v>-1</v>
      </c>
      <c r="U561">
        <f t="shared" si="109"/>
        <v>-1</v>
      </c>
    </row>
    <row r="562" spans="1:21">
      <c r="A562" t="s">
        <v>269</v>
      </c>
      <c r="B562" t="s">
        <v>68</v>
      </c>
      <c r="C562" t="s">
        <v>407</v>
      </c>
      <c r="D562" s="1">
        <v>116.9</v>
      </c>
      <c r="E562" s="1">
        <f t="shared" si="98"/>
        <v>93.4</v>
      </c>
      <c r="F562">
        <v>53.8</v>
      </c>
      <c r="G562" s="1">
        <v>110</v>
      </c>
      <c r="H562">
        <f t="shared" si="99"/>
        <v>-39.600000000000009</v>
      </c>
      <c r="I562">
        <f t="shared" si="100"/>
        <v>-2.329411764705883</v>
      </c>
      <c r="J562">
        <f t="shared" si="101"/>
        <v>0</v>
      </c>
      <c r="K562">
        <f t="shared" si="102"/>
        <v>0.94226603101549489</v>
      </c>
      <c r="L562">
        <f t="shared" si="103"/>
        <v>0</v>
      </c>
      <c r="M562" s="4">
        <f t="shared" si="104"/>
        <v>0</v>
      </c>
      <c r="N562">
        <f t="shared" si="105"/>
        <v>0</v>
      </c>
      <c r="O562" cm="1">
        <f t="array" ref="O562:Q562">_xlfn.XLOOKUP(C562, X$2:X$7, AG$2:AI$7)</f>
        <v>57.8</v>
      </c>
      <c r="P562">
        <v>-6.4299999999999996E-2</v>
      </c>
      <c r="Q562">
        <v>0</v>
      </c>
      <c r="R562">
        <f t="shared" si="106"/>
        <v>5.7178640336989647E-2</v>
      </c>
      <c r="S562" s="4">
        <f t="shared" si="107"/>
        <v>1</v>
      </c>
      <c r="T562">
        <f t="shared" si="108"/>
        <v>-1</v>
      </c>
      <c r="U562">
        <f t="shared" si="109"/>
        <v>-1</v>
      </c>
    </row>
    <row r="563" spans="1:21">
      <c r="A563" t="s">
        <v>338</v>
      </c>
      <c r="B563" t="s">
        <v>68</v>
      </c>
      <c r="C563" t="s">
        <v>407</v>
      </c>
      <c r="D563" s="1">
        <v>116.9</v>
      </c>
      <c r="E563" s="1">
        <f t="shared" si="98"/>
        <v>93.4</v>
      </c>
      <c r="F563">
        <v>10.9</v>
      </c>
      <c r="G563" s="1">
        <v>179</v>
      </c>
      <c r="H563">
        <f t="shared" si="99"/>
        <v>-82.5</v>
      </c>
      <c r="I563">
        <f t="shared" si="100"/>
        <v>-4.8529411764705879</v>
      </c>
      <c r="J563">
        <f t="shared" si="101"/>
        <v>0</v>
      </c>
      <c r="K563">
        <f t="shared" si="102"/>
        <v>0.94226603101549489</v>
      </c>
      <c r="L563">
        <f t="shared" si="103"/>
        <v>0</v>
      </c>
      <c r="M563" s="4">
        <f t="shared" si="104"/>
        <v>0</v>
      </c>
      <c r="N563">
        <f t="shared" si="105"/>
        <v>0</v>
      </c>
      <c r="O563" cm="1">
        <f t="array" ref="O563:Q563">_xlfn.XLOOKUP(C563, X$2:X$7, AG$2:AI$7)</f>
        <v>57.8</v>
      </c>
      <c r="P563">
        <v>-6.4299999999999996E-2</v>
      </c>
      <c r="Q563">
        <v>0</v>
      </c>
      <c r="R563">
        <f t="shared" si="106"/>
        <v>6.7670517251754495E-4</v>
      </c>
      <c r="S563" s="4">
        <f t="shared" si="107"/>
        <v>1</v>
      </c>
      <c r="T563">
        <f t="shared" si="108"/>
        <v>-1</v>
      </c>
      <c r="U563">
        <f t="shared" si="109"/>
        <v>-1</v>
      </c>
    </row>
    <row r="564" spans="1:21">
      <c r="A564" t="s">
        <v>343</v>
      </c>
      <c r="B564" t="s">
        <v>68</v>
      </c>
      <c r="C564" t="s">
        <v>407</v>
      </c>
      <c r="D564" s="1">
        <v>116.9</v>
      </c>
      <c r="E564" s="1">
        <f t="shared" si="98"/>
        <v>93.4</v>
      </c>
      <c r="F564">
        <v>10.1</v>
      </c>
      <c r="G564" s="1">
        <v>184</v>
      </c>
      <c r="H564">
        <f t="shared" si="99"/>
        <v>-83.300000000000011</v>
      </c>
      <c r="I564">
        <f t="shared" si="100"/>
        <v>-4.9000000000000004</v>
      </c>
      <c r="J564">
        <f t="shared" si="101"/>
        <v>0</v>
      </c>
      <c r="K564">
        <f t="shared" si="102"/>
        <v>0.94226603101549489</v>
      </c>
      <c r="L564">
        <f t="shared" si="103"/>
        <v>0</v>
      </c>
      <c r="M564" s="4">
        <f t="shared" si="104"/>
        <v>0</v>
      </c>
      <c r="N564">
        <f t="shared" si="105"/>
        <v>0</v>
      </c>
      <c r="O564" cm="1">
        <f t="array" ref="O564:Q564">_xlfn.XLOOKUP(C564, X$2:X$7, AG$2:AI$7)</f>
        <v>57.8</v>
      </c>
      <c r="P564">
        <v>-6.4299999999999996E-2</v>
      </c>
      <c r="Q564">
        <v>0</v>
      </c>
      <c r="R564">
        <f t="shared" si="106"/>
        <v>4.9065227872839936E-4</v>
      </c>
      <c r="S564" s="4">
        <f t="shared" si="107"/>
        <v>1</v>
      </c>
      <c r="T564">
        <f t="shared" si="108"/>
        <v>-1</v>
      </c>
      <c r="U564">
        <f t="shared" si="109"/>
        <v>-1</v>
      </c>
    </row>
    <row r="565" spans="1:21">
      <c r="A565" t="s">
        <v>377</v>
      </c>
      <c r="B565" t="s">
        <v>68</v>
      </c>
      <c r="C565" t="s">
        <v>407</v>
      </c>
      <c r="D565" s="1">
        <v>116.9</v>
      </c>
      <c r="E565" s="1">
        <f t="shared" si="98"/>
        <v>93.4</v>
      </c>
      <c r="F565">
        <v>6.6</v>
      </c>
      <c r="G565" s="1">
        <v>218</v>
      </c>
      <c r="H565">
        <f t="shared" si="99"/>
        <v>-86.800000000000011</v>
      </c>
      <c r="I565">
        <f t="shared" si="100"/>
        <v>-5.105882352941177</v>
      </c>
      <c r="J565">
        <f t="shared" si="101"/>
        <v>0</v>
      </c>
      <c r="K565">
        <f t="shared" si="102"/>
        <v>0.94226603101549489</v>
      </c>
      <c r="L565">
        <f t="shared" si="103"/>
        <v>0</v>
      </c>
      <c r="M565" s="4">
        <f t="shared" si="104"/>
        <v>0</v>
      </c>
      <c r="N565">
        <f t="shared" si="105"/>
        <v>0</v>
      </c>
      <c r="O565" cm="1">
        <f t="array" ref="O565:Q565">_xlfn.XLOOKUP(C565, X$2:X$7, AG$2:AI$7)</f>
        <v>57.8</v>
      </c>
      <c r="P565">
        <v>-6.4299999999999996E-2</v>
      </c>
      <c r="Q565">
        <v>0</v>
      </c>
      <c r="R565">
        <f t="shared" si="106"/>
        <v>5.5121271095174097E-5</v>
      </c>
      <c r="S565" s="4">
        <f t="shared" si="107"/>
        <v>1</v>
      </c>
      <c r="T565">
        <f t="shared" si="108"/>
        <v>-1</v>
      </c>
      <c r="U565">
        <f t="shared" si="109"/>
        <v>-1</v>
      </c>
    </row>
    <row r="566" spans="1:21">
      <c r="A566" t="s">
        <v>130</v>
      </c>
      <c r="B566" t="s">
        <v>60</v>
      </c>
      <c r="C566" t="s">
        <v>159</v>
      </c>
      <c r="D566" s="1">
        <v>228</v>
      </c>
      <c r="E566" s="1">
        <f t="shared" si="98"/>
        <v>190</v>
      </c>
      <c r="F566">
        <v>18.7</v>
      </c>
      <c r="G566" s="1">
        <v>60</v>
      </c>
      <c r="H566">
        <f t="shared" si="99"/>
        <v>-171.3</v>
      </c>
      <c r="I566">
        <f t="shared" si="100"/>
        <v>-10.076470588235296</v>
      </c>
      <c r="J566">
        <f t="shared" si="101"/>
        <v>0</v>
      </c>
      <c r="K566">
        <f t="shared" si="102"/>
        <v>0.57566309754037293</v>
      </c>
      <c r="L566">
        <f t="shared" si="103"/>
        <v>0</v>
      </c>
      <c r="M566" s="4">
        <f t="shared" si="104"/>
        <v>0</v>
      </c>
      <c r="N566">
        <f t="shared" si="105"/>
        <v>0</v>
      </c>
      <c r="O566" cm="1">
        <f t="array" ref="O566:Q566">_xlfn.XLOOKUP(C566, X$2:X$7, AG$2:AI$7)</f>
        <v>56.4</v>
      </c>
      <c r="P566">
        <v>-0.16300000000000001</v>
      </c>
      <c r="Q566">
        <v>0</v>
      </c>
      <c r="R566">
        <f t="shared" si="106"/>
        <v>3.7234877296802526E-3</v>
      </c>
      <c r="S566" s="4">
        <f t="shared" si="107"/>
        <v>1</v>
      </c>
      <c r="T566">
        <f t="shared" si="108"/>
        <v>-1</v>
      </c>
      <c r="U566">
        <f t="shared" si="109"/>
        <v>-1</v>
      </c>
    </row>
    <row r="567" spans="1:21">
      <c r="A567" t="s">
        <v>145</v>
      </c>
      <c r="B567" t="s">
        <v>60</v>
      </c>
      <c r="C567" t="s">
        <v>159</v>
      </c>
      <c r="D567" s="1">
        <v>228</v>
      </c>
      <c r="E567" s="1">
        <f t="shared" si="98"/>
        <v>190</v>
      </c>
      <c r="F567">
        <v>10</v>
      </c>
      <c r="G567" s="1">
        <v>75</v>
      </c>
      <c r="H567">
        <f t="shared" si="99"/>
        <v>-180</v>
      </c>
      <c r="I567">
        <f t="shared" si="100"/>
        <v>-10.588235294117647</v>
      </c>
      <c r="J567">
        <f t="shared" si="101"/>
        <v>0</v>
      </c>
      <c r="K567">
        <f t="shared" si="102"/>
        <v>0.57566309754037293</v>
      </c>
      <c r="L567">
        <f t="shared" si="103"/>
        <v>0</v>
      </c>
      <c r="M567" s="4">
        <f t="shared" si="104"/>
        <v>0</v>
      </c>
      <c r="N567">
        <f t="shared" si="105"/>
        <v>0</v>
      </c>
      <c r="O567" cm="1">
        <f t="array" ref="O567:Q567">_xlfn.XLOOKUP(C567, X$2:X$7, AG$2:AI$7)</f>
        <v>56.4</v>
      </c>
      <c r="P567">
        <v>-0.16300000000000001</v>
      </c>
      <c r="Q567">
        <v>0</v>
      </c>
      <c r="R567">
        <f t="shared" si="106"/>
        <v>3.2292369914919066E-4</v>
      </c>
      <c r="S567" s="4">
        <f t="shared" si="107"/>
        <v>1</v>
      </c>
      <c r="T567">
        <f t="shared" si="108"/>
        <v>-1</v>
      </c>
      <c r="U567">
        <f t="shared" si="109"/>
        <v>-1</v>
      </c>
    </row>
    <row r="568" spans="1:21">
      <c r="A568" t="s">
        <v>469</v>
      </c>
      <c r="B568" t="s">
        <v>60</v>
      </c>
      <c r="C568" t="s">
        <v>586</v>
      </c>
      <c r="D568" s="1">
        <v>107.9</v>
      </c>
      <c r="E568" s="1">
        <f t="shared" si="98"/>
        <v>73</v>
      </c>
      <c r="F568">
        <v>66.2</v>
      </c>
      <c r="G568" s="1">
        <v>62</v>
      </c>
      <c r="H568">
        <f t="shared" si="99"/>
        <v>-6.7999999999999972</v>
      </c>
      <c r="I568">
        <f t="shared" si="100"/>
        <v>-0.39999999999999986</v>
      </c>
      <c r="J568">
        <f t="shared" si="101"/>
        <v>0</v>
      </c>
      <c r="K568">
        <f t="shared" si="102"/>
        <v>1.0011070456397422</v>
      </c>
      <c r="L568">
        <f t="shared" si="103"/>
        <v>0</v>
      </c>
      <c r="M568" s="4">
        <f t="shared" si="104"/>
        <v>0</v>
      </c>
      <c r="N568">
        <f t="shared" si="105"/>
        <v>0</v>
      </c>
      <c r="O568" cm="1">
        <f t="array" ref="O568:Q568">_xlfn.XLOOKUP(C568, X$2:X$7, AG$2:AI$7)</f>
        <v>5.0900000000000001E-2</v>
      </c>
      <c r="P568">
        <v>-3.9</v>
      </c>
      <c r="Q568">
        <v>73.900000000000006</v>
      </c>
      <c r="R568">
        <f t="shared" si="106"/>
        <v>32.395453200000041</v>
      </c>
      <c r="S568" s="4">
        <f t="shared" si="107"/>
        <v>1</v>
      </c>
      <c r="T568">
        <f t="shared" si="108"/>
        <v>-1</v>
      </c>
      <c r="U568">
        <f t="shared" si="109"/>
        <v>-1</v>
      </c>
    </row>
    <row r="569" spans="1:21">
      <c r="A569" t="s">
        <v>478</v>
      </c>
      <c r="B569" t="s">
        <v>60</v>
      </c>
      <c r="C569" t="s">
        <v>586</v>
      </c>
      <c r="D569" s="1">
        <v>107.9</v>
      </c>
      <c r="E569" s="1">
        <f t="shared" si="98"/>
        <v>73</v>
      </c>
      <c r="F569">
        <v>48.8</v>
      </c>
      <c r="G569" s="1">
        <v>71</v>
      </c>
      <c r="H569">
        <f t="shared" si="99"/>
        <v>-24.200000000000003</v>
      </c>
      <c r="I569">
        <f t="shared" si="100"/>
        <v>-1.4235294117647062</v>
      </c>
      <c r="J569">
        <f t="shared" si="101"/>
        <v>0</v>
      </c>
      <c r="K569">
        <f t="shared" si="102"/>
        <v>1.0011070456397422</v>
      </c>
      <c r="L569">
        <f t="shared" si="103"/>
        <v>0</v>
      </c>
      <c r="M569" s="4">
        <f t="shared" si="104"/>
        <v>0</v>
      </c>
      <c r="N569">
        <f t="shared" si="105"/>
        <v>0</v>
      </c>
      <c r="O569" cm="1">
        <f t="array" ref="O569:Q569">_xlfn.XLOOKUP(C569, X$2:X$7, AG$2:AI$7)</f>
        <v>5.0900000000000001E-2</v>
      </c>
      <c r="P569">
        <v>-3.9</v>
      </c>
      <c r="Q569">
        <v>73.900000000000006</v>
      </c>
      <c r="R569">
        <f t="shared" si="106"/>
        <v>62.535912300000049</v>
      </c>
      <c r="S569" s="4">
        <f t="shared" si="107"/>
        <v>1</v>
      </c>
      <c r="T569">
        <f t="shared" si="108"/>
        <v>-1</v>
      </c>
      <c r="U569">
        <f t="shared" si="109"/>
        <v>-1</v>
      </c>
    </row>
    <row r="570" spans="1:21">
      <c r="A570" t="s">
        <v>501</v>
      </c>
      <c r="B570" t="s">
        <v>60</v>
      </c>
      <c r="C570" t="s">
        <v>586</v>
      </c>
      <c r="D570" s="1">
        <v>107.9</v>
      </c>
      <c r="E570" s="1">
        <f t="shared" si="98"/>
        <v>73</v>
      </c>
      <c r="F570">
        <v>30.2</v>
      </c>
      <c r="G570" s="1">
        <v>94</v>
      </c>
      <c r="H570">
        <f t="shared" si="99"/>
        <v>-42.8</v>
      </c>
      <c r="I570">
        <f t="shared" si="100"/>
        <v>-2.5176470588235293</v>
      </c>
      <c r="J570">
        <f t="shared" si="101"/>
        <v>0</v>
      </c>
      <c r="K570">
        <f t="shared" si="102"/>
        <v>1.0011070456397422</v>
      </c>
      <c r="L570">
        <f t="shared" si="103"/>
        <v>0</v>
      </c>
      <c r="M570" s="4">
        <f t="shared" si="104"/>
        <v>0</v>
      </c>
      <c r="N570">
        <f t="shared" si="105"/>
        <v>0</v>
      </c>
      <c r="O570" cm="1">
        <f t="array" ref="O570:Q570">_xlfn.XLOOKUP(C570, X$2:X$7, AG$2:AI$7)</f>
        <v>5.0900000000000001E-2</v>
      </c>
      <c r="P570">
        <v>-3.9</v>
      </c>
      <c r="Q570">
        <v>73.900000000000006</v>
      </c>
      <c r="R570">
        <f t="shared" si="106"/>
        <v>183.28015080000009</v>
      </c>
      <c r="S570" s="4">
        <f t="shared" si="107"/>
        <v>1</v>
      </c>
      <c r="T570">
        <f t="shared" si="108"/>
        <v>-1</v>
      </c>
      <c r="U570">
        <f t="shared" si="109"/>
        <v>-1</v>
      </c>
    </row>
    <row r="571" spans="1:21">
      <c r="A571" t="s">
        <v>509</v>
      </c>
      <c r="B571" t="s">
        <v>60</v>
      </c>
      <c r="C571" t="s">
        <v>586</v>
      </c>
      <c r="D571" s="1">
        <v>107.9</v>
      </c>
      <c r="E571" s="1">
        <f t="shared" si="98"/>
        <v>73</v>
      </c>
      <c r="F571">
        <v>27.1</v>
      </c>
      <c r="G571" s="1">
        <v>102</v>
      </c>
      <c r="H571">
        <f t="shared" si="99"/>
        <v>-45.9</v>
      </c>
      <c r="I571">
        <f t="shared" si="100"/>
        <v>-2.6999999999999997</v>
      </c>
      <c r="J571">
        <f t="shared" si="101"/>
        <v>0</v>
      </c>
      <c r="K571">
        <f t="shared" si="102"/>
        <v>1.0011070456397422</v>
      </c>
      <c r="L571">
        <f t="shared" si="103"/>
        <v>0</v>
      </c>
      <c r="M571" s="4">
        <f t="shared" si="104"/>
        <v>0</v>
      </c>
      <c r="N571">
        <f t="shared" si="105"/>
        <v>0</v>
      </c>
      <c r="O571" cm="1">
        <f t="array" ref="O571:Q571">_xlfn.XLOOKUP(C571, X$2:X$7, AG$2:AI$7)</f>
        <v>5.0900000000000001E-2</v>
      </c>
      <c r="P571">
        <v>-3.9</v>
      </c>
      <c r="Q571">
        <v>73.900000000000006</v>
      </c>
      <c r="R571">
        <f t="shared" si="106"/>
        <v>240.00942120000008</v>
      </c>
      <c r="S571" s="4">
        <f t="shared" si="107"/>
        <v>1</v>
      </c>
      <c r="T571">
        <f t="shared" si="108"/>
        <v>-1</v>
      </c>
      <c r="U571">
        <f t="shared" si="109"/>
        <v>-1</v>
      </c>
    </row>
    <row r="572" spans="1:21">
      <c r="A572" t="s">
        <v>544</v>
      </c>
      <c r="B572" t="s">
        <v>60</v>
      </c>
      <c r="C572" t="s">
        <v>586</v>
      </c>
      <c r="D572" s="1">
        <v>107.9</v>
      </c>
      <c r="E572" s="1">
        <f t="shared" si="98"/>
        <v>73</v>
      </c>
      <c r="F572">
        <v>13.3</v>
      </c>
      <c r="G572" s="1">
        <v>139</v>
      </c>
      <c r="H572">
        <f t="shared" si="99"/>
        <v>-59.7</v>
      </c>
      <c r="I572">
        <f t="shared" si="100"/>
        <v>-3.5117647058823529</v>
      </c>
      <c r="J572">
        <f t="shared" si="101"/>
        <v>0</v>
      </c>
      <c r="K572">
        <f t="shared" si="102"/>
        <v>1.0011070456397422</v>
      </c>
      <c r="L572">
        <f t="shared" si="103"/>
        <v>0</v>
      </c>
      <c r="M572" s="4">
        <f t="shared" si="104"/>
        <v>0</v>
      </c>
      <c r="N572">
        <f t="shared" si="105"/>
        <v>0</v>
      </c>
      <c r="O572" cm="1">
        <f t="array" ref="O572:Q572">_xlfn.XLOOKUP(C572, X$2:X$7, AG$2:AI$7)</f>
        <v>5.0900000000000001E-2</v>
      </c>
      <c r="P572">
        <v>-3.9</v>
      </c>
      <c r="Q572">
        <v>73.900000000000006</v>
      </c>
      <c r="R572">
        <f t="shared" si="106"/>
        <v>601.28379629999995</v>
      </c>
      <c r="S572" s="4">
        <f t="shared" si="107"/>
        <v>1</v>
      </c>
      <c r="T572">
        <f t="shared" si="108"/>
        <v>-1</v>
      </c>
      <c r="U572">
        <f t="shared" si="109"/>
        <v>-1</v>
      </c>
    </row>
    <row r="573" spans="1:21">
      <c r="A573" t="s">
        <v>641</v>
      </c>
      <c r="B573" t="s">
        <v>60</v>
      </c>
      <c r="C573" t="s">
        <v>729</v>
      </c>
      <c r="D573" s="1">
        <v>99</v>
      </c>
      <c r="E573" s="1">
        <f t="shared" si="98"/>
        <v>82.5</v>
      </c>
      <c r="F573">
        <v>30.4</v>
      </c>
      <c r="G573" s="1">
        <v>55</v>
      </c>
      <c r="H573">
        <f t="shared" si="99"/>
        <v>-52.1</v>
      </c>
      <c r="I573">
        <f t="shared" si="100"/>
        <v>-3.0647058823529414</v>
      </c>
      <c r="J573">
        <f t="shared" si="101"/>
        <v>0</v>
      </c>
      <c r="K573">
        <f t="shared" si="102"/>
        <v>1.0909252297006058</v>
      </c>
      <c r="L573">
        <f t="shared" si="103"/>
        <v>0</v>
      </c>
      <c r="M573" s="4">
        <f t="shared" si="104"/>
        <v>0</v>
      </c>
      <c r="N573">
        <f t="shared" si="105"/>
        <v>0</v>
      </c>
      <c r="O573" cm="1">
        <f t="array" ref="O573:Q573">_xlfn.XLOOKUP(C573, X$2:X$7, AG$2:AI$7)</f>
        <v>55.4</v>
      </c>
      <c r="P573">
        <v>-0.253</v>
      </c>
      <c r="Q573">
        <v>0</v>
      </c>
      <c r="R573">
        <f t="shared" si="106"/>
        <v>5.8529242727300317E-5</v>
      </c>
      <c r="S573" s="4">
        <f t="shared" si="107"/>
        <v>1</v>
      </c>
      <c r="T573">
        <f t="shared" si="108"/>
        <v>-1</v>
      </c>
      <c r="U573">
        <f t="shared" si="109"/>
        <v>-1</v>
      </c>
    </row>
    <row r="574" spans="1:21">
      <c r="A574" t="s">
        <v>688</v>
      </c>
      <c r="B574" t="s">
        <v>60</v>
      </c>
      <c r="C574" t="s">
        <v>729</v>
      </c>
      <c r="D574" s="1">
        <v>99</v>
      </c>
      <c r="E574" s="1">
        <f t="shared" si="98"/>
        <v>82.5</v>
      </c>
      <c r="F574">
        <v>13.6</v>
      </c>
      <c r="G574" s="1">
        <v>103</v>
      </c>
      <c r="H574">
        <f t="shared" si="99"/>
        <v>-68.900000000000006</v>
      </c>
      <c r="I574">
        <f t="shared" si="100"/>
        <v>-4.0529411764705889</v>
      </c>
      <c r="J574">
        <f t="shared" si="101"/>
        <v>0</v>
      </c>
      <c r="K574">
        <f t="shared" si="102"/>
        <v>1.0909252297006058</v>
      </c>
      <c r="L574">
        <f t="shared" si="103"/>
        <v>0</v>
      </c>
      <c r="M574" s="4">
        <f t="shared" si="104"/>
        <v>0</v>
      </c>
      <c r="N574">
        <f t="shared" si="105"/>
        <v>0</v>
      </c>
      <c r="O574" cm="1">
        <f t="array" ref="O574:Q574">_xlfn.XLOOKUP(C574, X$2:X$7, AG$2:AI$7)</f>
        <v>55.4</v>
      </c>
      <c r="P574">
        <v>-0.253</v>
      </c>
      <c r="Q574">
        <v>0</v>
      </c>
      <c r="R574">
        <f t="shared" si="106"/>
        <v>3.1138717170101747E-10</v>
      </c>
      <c r="S574" s="4">
        <f t="shared" si="107"/>
        <v>1</v>
      </c>
      <c r="T574">
        <f t="shared" si="108"/>
        <v>-1</v>
      </c>
      <c r="U574">
        <f t="shared" si="109"/>
        <v>-1</v>
      </c>
    </row>
    <row r="575" spans="1:21">
      <c r="A575" t="s">
        <v>309</v>
      </c>
      <c r="B575" t="s">
        <v>60</v>
      </c>
      <c r="C575" t="s">
        <v>407</v>
      </c>
      <c r="D575" s="1">
        <v>116.9</v>
      </c>
      <c r="E575" s="1">
        <f t="shared" si="98"/>
        <v>93.4</v>
      </c>
      <c r="F575">
        <v>21.8</v>
      </c>
      <c r="G575" s="1">
        <v>150</v>
      </c>
      <c r="H575">
        <f t="shared" si="99"/>
        <v>-71.600000000000009</v>
      </c>
      <c r="I575">
        <f t="shared" si="100"/>
        <v>-4.2117647058823531</v>
      </c>
      <c r="J575">
        <f t="shared" si="101"/>
        <v>0</v>
      </c>
      <c r="K575">
        <f t="shared" si="102"/>
        <v>0.94226603101549489</v>
      </c>
      <c r="L575">
        <f t="shared" si="103"/>
        <v>0</v>
      </c>
      <c r="M575" s="4">
        <f t="shared" si="104"/>
        <v>0</v>
      </c>
      <c r="N575">
        <f t="shared" si="105"/>
        <v>0</v>
      </c>
      <c r="O575" cm="1">
        <f t="array" ref="O575:Q575">_xlfn.XLOOKUP(C575, X$2:X$7, AG$2:AI$7)</f>
        <v>57.8</v>
      </c>
      <c r="P575">
        <v>-6.4299999999999996E-2</v>
      </c>
      <c r="Q575">
        <v>0</v>
      </c>
      <c r="R575">
        <f t="shared" si="106"/>
        <v>4.3674547745044257E-3</v>
      </c>
      <c r="S575" s="4">
        <f t="shared" si="107"/>
        <v>1</v>
      </c>
      <c r="T575">
        <f t="shared" si="108"/>
        <v>-1</v>
      </c>
      <c r="U575">
        <f t="shared" si="109"/>
        <v>-1</v>
      </c>
    </row>
    <row r="576" spans="1:21">
      <c r="A576" t="s">
        <v>311</v>
      </c>
      <c r="B576" t="s">
        <v>60</v>
      </c>
      <c r="C576" t="s">
        <v>407</v>
      </c>
      <c r="D576" s="1">
        <v>116.9</v>
      </c>
      <c r="E576" s="1">
        <f t="shared" si="98"/>
        <v>93.4</v>
      </c>
      <c r="F576">
        <v>19.7</v>
      </c>
      <c r="G576" s="1">
        <v>152</v>
      </c>
      <c r="H576">
        <f t="shared" si="99"/>
        <v>-73.7</v>
      </c>
      <c r="I576">
        <f t="shared" si="100"/>
        <v>-4.3352941176470594</v>
      </c>
      <c r="J576">
        <f t="shared" si="101"/>
        <v>0</v>
      </c>
      <c r="K576">
        <f t="shared" si="102"/>
        <v>0.94226603101549489</v>
      </c>
      <c r="L576">
        <f t="shared" si="103"/>
        <v>0</v>
      </c>
      <c r="M576" s="4">
        <f t="shared" si="104"/>
        <v>0</v>
      </c>
      <c r="N576">
        <f t="shared" si="105"/>
        <v>0</v>
      </c>
      <c r="O576" cm="1">
        <f t="array" ref="O576:Q576">_xlfn.XLOOKUP(C576, X$2:X$7, AG$2:AI$7)</f>
        <v>57.8</v>
      </c>
      <c r="P576">
        <v>-6.4299999999999996E-2</v>
      </c>
      <c r="Q576">
        <v>0</v>
      </c>
      <c r="R576">
        <f t="shared" si="106"/>
        <v>3.8404149012554139E-3</v>
      </c>
      <c r="S576" s="4">
        <f t="shared" si="107"/>
        <v>1</v>
      </c>
      <c r="T576">
        <f t="shared" si="108"/>
        <v>-1</v>
      </c>
      <c r="U576">
        <f t="shared" si="109"/>
        <v>-1</v>
      </c>
    </row>
    <row r="577" spans="1:21">
      <c r="A577" t="s">
        <v>346</v>
      </c>
      <c r="B577" t="s">
        <v>60</v>
      </c>
      <c r="C577" t="s">
        <v>407</v>
      </c>
      <c r="D577" s="1">
        <v>116.9</v>
      </c>
      <c r="E577" s="1">
        <f t="shared" si="98"/>
        <v>93.4</v>
      </c>
      <c r="F577">
        <v>9.8000000000000007</v>
      </c>
      <c r="G577" s="1">
        <v>187</v>
      </c>
      <c r="H577">
        <f t="shared" si="99"/>
        <v>-83.600000000000009</v>
      </c>
      <c r="I577">
        <f t="shared" si="100"/>
        <v>-4.9176470588235297</v>
      </c>
      <c r="J577">
        <f t="shared" si="101"/>
        <v>0</v>
      </c>
      <c r="K577">
        <f t="shared" si="102"/>
        <v>0.94226603101549489</v>
      </c>
      <c r="L577">
        <f t="shared" si="103"/>
        <v>0</v>
      </c>
      <c r="M577" s="4">
        <f t="shared" si="104"/>
        <v>0</v>
      </c>
      <c r="N577">
        <f t="shared" si="105"/>
        <v>0</v>
      </c>
      <c r="O577" cm="1">
        <f t="array" ref="O577:Q577">_xlfn.XLOOKUP(C577, X$2:X$7, AG$2:AI$7)</f>
        <v>57.8</v>
      </c>
      <c r="P577">
        <v>-6.4299999999999996E-2</v>
      </c>
      <c r="Q577">
        <v>0</v>
      </c>
      <c r="R577">
        <f t="shared" si="106"/>
        <v>4.0457441480051815E-4</v>
      </c>
      <c r="S577" s="4">
        <f t="shared" si="107"/>
        <v>1</v>
      </c>
      <c r="T577">
        <f t="shared" si="108"/>
        <v>-1</v>
      </c>
      <c r="U577">
        <f t="shared" si="109"/>
        <v>-1</v>
      </c>
    </row>
    <row r="578" spans="1:21">
      <c r="A578" t="s">
        <v>761</v>
      </c>
      <c r="B578" t="s">
        <v>94</v>
      </c>
      <c r="C578" t="s">
        <v>764</v>
      </c>
      <c r="D578" s="1">
        <v>124.7</v>
      </c>
      <c r="E578" s="1">
        <f t="shared" ref="E578:E641" si="110">IF(C578=X$2, AE$2, IF(C578 = X$3, AE$3, IF(C578 = X$4, AE$4, IF(C578 = X$5, AE$5, IF(C578=X$6, AE$6, IF(C578=X$7, AE$7, ""))))))</f>
        <v>118.7</v>
      </c>
      <c r="F578">
        <v>107.4</v>
      </c>
      <c r="G578" s="1">
        <v>32</v>
      </c>
      <c r="H578">
        <f t="shared" ref="H578:H641" si="111">F578-E578</f>
        <v>-11.299999999999997</v>
      </c>
      <c r="I578">
        <f t="shared" ref="I578:I641" si="112">H578/17</f>
        <v>-0.66470588235294104</v>
      </c>
      <c r="J578">
        <f t="shared" ref="J578:J641" si="113">IF(1+I578/AK$2&lt;0, 0,(1+I578/AK$2))</f>
        <v>0</v>
      </c>
      <c r="K578">
        <f t="shared" ref="K578:K641" si="114">IF(C578=X$2, AB$2, IF(C578 = X$3, AB$3, IF(C578 = X$4, AB$4, IF(C578 = X$5, AB$5, IF(C578=X$6, AB$6, IF(C578=X$7, AB$7, ""))))))</f>
        <v>0.70591649737063444</v>
      </c>
      <c r="L578">
        <f t="shared" ref="L578:L641" si="115">M578/AN$21*AN$12</f>
        <v>0</v>
      </c>
      <c r="M578" s="4">
        <f t="shared" ref="M578:M641" si="116">J578*K578</f>
        <v>0</v>
      </c>
      <c r="N578">
        <f t="shared" ref="N578:N641" si="117">M578*1.25</f>
        <v>0</v>
      </c>
      <c r="O578" cm="1">
        <f t="array" ref="O578:Q578">_xlfn.XLOOKUP(C578, X$2:X$7, AG$2:AI$7)</f>
        <v>3.22</v>
      </c>
      <c r="P578">
        <v>-0.14799999999999999</v>
      </c>
      <c r="Q578">
        <v>0</v>
      </c>
      <c r="R578">
        <f t="shared" ref="R578:R641" si="118">IF(Q578=0,1.167*O578*EXP(P578*G578),1.167*(O578*G578^2+P578*G578+Q578))</f>
        <v>3.2969173609368817E-2</v>
      </c>
      <c r="S578" s="4">
        <f t="shared" ref="S578:S641" si="119">IF(OR(H578&lt;0, R578&lt;1), 1, R578)</f>
        <v>1</v>
      </c>
      <c r="T578">
        <f t="shared" ref="T578:T641" si="120">M578-S578</f>
        <v>-1</v>
      </c>
      <c r="U578">
        <f t="shared" ref="U578:U641" si="121">N578-S578</f>
        <v>-1</v>
      </c>
    </row>
    <row r="579" spans="1:21">
      <c r="A579" t="s">
        <v>114</v>
      </c>
      <c r="B579" t="s">
        <v>94</v>
      </c>
      <c r="C579" t="s">
        <v>159</v>
      </c>
      <c r="D579" s="1">
        <v>228</v>
      </c>
      <c r="E579" s="1">
        <f t="shared" si="110"/>
        <v>190</v>
      </c>
      <c r="F579">
        <v>30.8</v>
      </c>
      <c r="G579" s="1">
        <v>44</v>
      </c>
      <c r="H579">
        <f t="shared" si="111"/>
        <v>-159.19999999999999</v>
      </c>
      <c r="I579">
        <f t="shared" si="112"/>
        <v>-9.3647058823529399</v>
      </c>
      <c r="J579">
        <f t="shared" si="113"/>
        <v>0</v>
      </c>
      <c r="K579">
        <f t="shared" si="114"/>
        <v>0.57566309754037293</v>
      </c>
      <c r="L579">
        <f t="shared" si="115"/>
        <v>0</v>
      </c>
      <c r="M579" s="4">
        <f t="shared" si="116"/>
        <v>0</v>
      </c>
      <c r="N579">
        <f t="shared" si="117"/>
        <v>0</v>
      </c>
      <c r="O579" cm="1">
        <f t="array" ref="O579:Q579">_xlfn.XLOOKUP(C579, X$2:X$7, AG$2:AI$7)</f>
        <v>56.4</v>
      </c>
      <c r="P579">
        <v>-0.16300000000000001</v>
      </c>
      <c r="Q579">
        <v>0</v>
      </c>
      <c r="R579">
        <f t="shared" si="118"/>
        <v>5.0534728388443265E-2</v>
      </c>
      <c r="S579" s="4">
        <f t="shared" si="119"/>
        <v>1</v>
      </c>
      <c r="T579">
        <f t="shared" si="120"/>
        <v>-1</v>
      </c>
      <c r="U579">
        <f t="shared" si="121"/>
        <v>-1</v>
      </c>
    </row>
    <row r="580" spans="1:21">
      <c r="A580" t="s">
        <v>498</v>
      </c>
      <c r="B580" t="s">
        <v>94</v>
      </c>
      <c r="C580" t="s">
        <v>586</v>
      </c>
      <c r="D580" s="1">
        <v>107.9</v>
      </c>
      <c r="E580" s="1">
        <f t="shared" si="110"/>
        <v>73</v>
      </c>
      <c r="F580">
        <v>31.5</v>
      </c>
      <c r="G580" s="1">
        <v>91</v>
      </c>
      <c r="H580">
        <f t="shared" si="111"/>
        <v>-41.5</v>
      </c>
      <c r="I580">
        <f t="shared" si="112"/>
        <v>-2.4411764705882355</v>
      </c>
      <c r="J580">
        <f t="shared" si="113"/>
        <v>0</v>
      </c>
      <c r="K580">
        <f t="shared" si="114"/>
        <v>1.0011070456397422</v>
      </c>
      <c r="L580">
        <f t="shared" si="115"/>
        <v>0</v>
      </c>
      <c r="M580" s="4">
        <f t="shared" si="116"/>
        <v>0</v>
      </c>
      <c r="N580">
        <f t="shared" si="117"/>
        <v>0</v>
      </c>
      <c r="O580" cm="1">
        <f t="array" ref="O580:Q580">_xlfn.XLOOKUP(C580, X$2:X$7, AG$2:AI$7)</f>
        <v>5.0900000000000001E-2</v>
      </c>
      <c r="P580">
        <v>-3.9</v>
      </c>
      <c r="Q580">
        <v>73.900000000000006</v>
      </c>
      <c r="R580">
        <f t="shared" si="118"/>
        <v>163.96688430000006</v>
      </c>
      <c r="S580" s="4">
        <f t="shared" si="119"/>
        <v>1</v>
      </c>
      <c r="T580">
        <f t="shared" si="120"/>
        <v>-1</v>
      </c>
      <c r="U580">
        <f t="shared" si="121"/>
        <v>-1</v>
      </c>
    </row>
    <row r="581" spans="1:21">
      <c r="A581" t="s">
        <v>504</v>
      </c>
      <c r="B581" t="s">
        <v>94</v>
      </c>
      <c r="C581" t="s">
        <v>586</v>
      </c>
      <c r="D581" s="1">
        <v>107.9</v>
      </c>
      <c r="E581" s="1">
        <f t="shared" si="110"/>
        <v>73</v>
      </c>
      <c r="F581">
        <v>29</v>
      </c>
      <c r="G581" s="1">
        <v>97</v>
      </c>
      <c r="H581">
        <f t="shared" si="111"/>
        <v>-44</v>
      </c>
      <c r="I581">
        <f t="shared" si="112"/>
        <v>-2.5882352941176472</v>
      </c>
      <c r="J581">
        <f t="shared" si="113"/>
        <v>0</v>
      </c>
      <c r="K581">
        <f t="shared" si="114"/>
        <v>1.0011070456397422</v>
      </c>
      <c r="L581">
        <f t="shared" si="115"/>
        <v>0</v>
      </c>
      <c r="M581" s="4">
        <f t="shared" si="116"/>
        <v>0</v>
      </c>
      <c r="N581">
        <f t="shared" si="117"/>
        <v>0</v>
      </c>
      <c r="O581" cm="1">
        <f t="array" ref="O581:Q581">_xlfn.XLOOKUP(C581, X$2:X$7, AG$2:AI$7)</f>
        <v>5.0900000000000001E-2</v>
      </c>
      <c r="P581">
        <v>-3.9</v>
      </c>
      <c r="Q581">
        <v>73.900000000000006</v>
      </c>
      <c r="R581">
        <f t="shared" si="118"/>
        <v>203.66262269999999</v>
      </c>
      <c r="S581" s="4">
        <f t="shared" si="119"/>
        <v>1</v>
      </c>
      <c r="T581">
        <f t="shared" si="120"/>
        <v>-1</v>
      </c>
      <c r="U581">
        <f t="shared" si="121"/>
        <v>-1</v>
      </c>
    </row>
    <row r="582" spans="1:21">
      <c r="A582" t="s">
        <v>525</v>
      </c>
      <c r="B582" t="s">
        <v>94</v>
      </c>
      <c r="C582" t="s">
        <v>586</v>
      </c>
      <c r="D582" s="1">
        <v>107.9</v>
      </c>
      <c r="E582" s="1">
        <f t="shared" si="110"/>
        <v>73</v>
      </c>
      <c r="F582">
        <v>20.5</v>
      </c>
      <c r="G582" s="1">
        <v>119</v>
      </c>
      <c r="H582">
        <f t="shared" si="111"/>
        <v>-52.5</v>
      </c>
      <c r="I582">
        <f t="shared" si="112"/>
        <v>-3.0882352941176472</v>
      </c>
      <c r="J582">
        <f t="shared" si="113"/>
        <v>0</v>
      </c>
      <c r="K582">
        <f t="shared" si="114"/>
        <v>1.0011070456397422</v>
      </c>
      <c r="L582">
        <f t="shared" si="115"/>
        <v>0</v>
      </c>
      <c r="M582" s="4">
        <f t="shared" si="116"/>
        <v>0</v>
      </c>
      <c r="N582">
        <f t="shared" si="117"/>
        <v>0</v>
      </c>
      <c r="O582" cm="1">
        <f t="array" ref="O582:Q582">_xlfn.XLOOKUP(C582, X$2:X$7, AG$2:AI$7)</f>
        <v>5.0900000000000001E-2</v>
      </c>
      <c r="P582">
        <v>-3.9</v>
      </c>
      <c r="Q582">
        <v>73.900000000000006</v>
      </c>
      <c r="R582">
        <f t="shared" si="118"/>
        <v>385.8042483000001</v>
      </c>
      <c r="S582" s="4">
        <f t="shared" si="119"/>
        <v>1</v>
      </c>
      <c r="T582">
        <f t="shared" si="120"/>
        <v>-1</v>
      </c>
      <c r="U582">
        <f t="shared" si="121"/>
        <v>-1</v>
      </c>
    </row>
    <row r="583" spans="1:21">
      <c r="A583" t="s">
        <v>535</v>
      </c>
      <c r="B583" t="s">
        <v>94</v>
      </c>
      <c r="C583" t="s">
        <v>586</v>
      </c>
      <c r="D583" s="1">
        <v>107.9</v>
      </c>
      <c r="E583" s="1">
        <f t="shared" si="110"/>
        <v>73</v>
      </c>
      <c r="F583">
        <v>16.3</v>
      </c>
      <c r="G583" s="1">
        <v>130</v>
      </c>
      <c r="H583">
        <f t="shared" si="111"/>
        <v>-56.7</v>
      </c>
      <c r="I583">
        <f t="shared" si="112"/>
        <v>-3.335294117647059</v>
      </c>
      <c r="J583">
        <f t="shared" si="113"/>
        <v>0</v>
      </c>
      <c r="K583">
        <f t="shared" si="114"/>
        <v>1.0011070456397422</v>
      </c>
      <c r="L583">
        <f t="shared" si="115"/>
        <v>0</v>
      </c>
      <c r="M583" s="4">
        <f t="shared" si="116"/>
        <v>0</v>
      </c>
      <c r="N583">
        <f t="shared" si="117"/>
        <v>0</v>
      </c>
      <c r="O583" cm="1">
        <f t="array" ref="O583:Q583">_xlfn.XLOOKUP(C583, X$2:X$7, AG$2:AI$7)</f>
        <v>5.0900000000000001E-2</v>
      </c>
      <c r="P583">
        <v>-3.9</v>
      </c>
      <c r="Q583">
        <v>73.900000000000006</v>
      </c>
      <c r="R583">
        <f t="shared" si="118"/>
        <v>498.43737000000004</v>
      </c>
      <c r="S583" s="4">
        <f t="shared" si="119"/>
        <v>1</v>
      </c>
      <c r="T583">
        <f t="shared" si="120"/>
        <v>-1</v>
      </c>
      <c r="U583">
        <f t="shared" si="121"/>
        <v>-1</v>
      </c>
    </row>
    <row r="584" spans="1:21">
      <c r="A584" t="s">
        <v>700</v>
      </c>
      <c r="B584" t="s">
        <v>94</v>
      </c>
      <c r="C584" t="s">
        <v>729</v>
      </c>
      <c r="D584" s="1">
        <v>99</v>
      </c>
      <c r="E584" s="1">
        <f t="shared" si="110"/>
        <v>82.5</v>
      </c>
      <c r="F584">
        <v>10.4</v>
      </c>
      <c r="G584" s="1">
        <v>115</v>
      </c>
      <c r="H584">
        <f t="shared" si="111"/>
        <v>-72.099999999999994</v>
      </c>
      <c r="I584">
        <f t="shared" si="112"/>
        <v>-4.2411764705882353</v>
      </c>
      <c r="J584">
        <f t="shared" si="113"/>
        <v>0</v>
      </c>
      <c r="K584">
        <f t="shared" si="114"/>
        <v>1.0909252297006058</v>
      </c>
      <c r="L584">
        <f t="shared" si="115"/>
        <v>0</v>
      </c>
      <c r="M584" s="4">
        <f t="shared" si="116"/>
        <v>0</v>
      </c>
      <c r="N584">
        <f t="shared" si="117"/>
        <v>0</v>
      </c>
      <c r="O584" cm="1">
        <f t="array" ref="O584:Q584">_xlfn.XLOOKUP(C584, X$2:X$7, AG$2:AI$7)</f>
        <v>55.4</v>
      </c>
      <c r="P584">
        <v>-0.253</v>
      </c>
      <c r="Q584">
        <v>0</v>
      </c>
      <c r="R584">
        <f t="shared" si="118"/>
        <v>1.4954870952430512E-11</v>
      </c>
      <c r="S584" s="4">
        <f t="shared" si="119"/>
        <v>1</v>
      </c>
      <c r="T584">
        <f t="shared" si="120"/>
        <v>-1</v>
      </c>
      <c r="U584">
        <f t="shared" si="121"/>
        <v>-1</v>
      </c>
    </row>
    <row r="585" spans="1:21">
      <c r="A585" t="s">
        <v>721</v>
      </c>
      <c r="B585" t="s">
        <v>94</v>
      </c>
      <c r="C585" t="s">
        <v>729</v>
      </c>
      <c r="D585" s="1">
        <v>99</v>
      </c>
      <c r="E585" s="1">
        <f t="shared" si="110"/>
        <v>82.5</v>
      </c>
      <c r="F585">
        <v>4.5</v>
      </c>
      <c r="G585" s="1">
        <v>137</v>
      </c>
      <c r="H585">
        <f t="shared" si="111"/>
        <v>-78</v>
      </c>
      <c r="I585">
        <f t="shared" si="112"/>
        <v>-4.5882352941176467</v>
      </c>
      <c r="J585">
        <f t="shared" si="113"/>
        <v>0</v>
      </c>
      <c r="K585">
        <f t="shared" si="114"/>
        <v>1.0909252297006058</v>
      </c>
      <c r="L585">
        <f t="shared" si="115"/>
        <v>0</v>
      </c>
      <c r="M585" s="4">
        <f t="shared" si="116"/>
        <v>0</v>
      </c>
      <c r="N585">
        <f t="shared" si="117"/>
        <v>0</v>
      </c>
      <c r="O585" cm="1">
        <f t="array" ref="O585:Q585">_xlfn.XLOOKUP(C585, X$2:X$7, AG$2:AI$7)</f>
        <v>55.4</v>
      </c>
      <c r="P585">
        <v>-0.253</v>
      </c>
      <c r="Q585">
        <v>0</v>
      </c>
      <c r="R585">
        <f t="shared" si="118"/>
        <v>5.7213640599116095E-14</v>
      </c>
      <c r="S585" s="4">
        <f t="shared" si="119"/>
        <v>1</v>
      </c>
      <c r="T585">
        <f t="shared" si="120"/>
        <v>-1</v>
      </c>
      <c r="U585">
        <f t="shared" si="121"/>
        <v>-1</v>
      </c>
    </row>
    <row r="586" spans="1:21">
      <c r="A586" t="s">
        <v>249</v>
      </c>
      <c r="B586" t="s">
        <v>94</v>
      </c>
      <c r="C586" t="s">
        <v>407</v>
      </c>
      <c r="D586" s="1">
        <v>116.9</v>
      </c>
      <c r="E586" s="1">
        <f t="shared" si="110"/>
        <v>93.4</v>
      </c>
      <c r="F586">
        <v>72.400000000000006</v>
      </c>
      <c r="G586" s="1">
        <v>90</v>
      </c>
      <c r="H586">
        <f t="shared" si="111"/>
        <v>-21</v>
      </c>
      <c r="I586">
        <f t="shared" si="112"/>
        <v>-1.2352941176470589</v>
      </c>
      <c r="J586">
        <f t="shared" si="113"/>
        <v>0</v>
      </c>
      <c r="K586">
        <f t="shared" si="114"/>
        <v>0.94226603101549489</v>
      </c>
      <c r="L586">
        <f t="shared" si="115"/>
        <v>0</v>
      </c>
      <c r="M586" s="4">
        <f t="shared" si="116"/>
        <v>0</v>
      </c>
      <c r="N586">
        <f t="shared" si="117"/>
        <v>0</v>
      </c>
      <c r="O586" cm="1">
        <f t="array" ref="O586:Q586">_xlfn.XLOOKUP(C586, X$2:X$7, AG$2:AI$7)</f>
        <v>57.8</v>
      </c>
      <c r="P586">
        <v>-6.4299999999999996E-2</v>
      </c>
      <c r="Q586">
        <v>0</v>
      </c>
      <c r="R586">
        <f t="shared" si="118"/>
        <v>0.20688858423779596</v>
      </c>
      <c r="S586" s="4">
        <f t="shared" si="119"/>
        <v>1</v>
      </c>
      <c r="T586">
        <f t="shared" si="120"/>
        <v>-1</v>
      </c>
      <c r="U586">
        <f t="shared" si="121"/>
        <v>-1</v>
      </c>
    </row>
    <row r="587" spans="1:21">
      <c r="A587" t="s">
        <v>282</v>
      </c>
      <c r="B587" t="s">
        <v>94</v>
      </c>
      <c r="C587" t="s">
        <v>407</v>
      </c>
      <c r="D587" s="1">
        <v>116.9</v>
      </c>
      <c r="E587" s="1">
        <f t="shared" si="110"/>
        <v>93.4</v>
      </c>
      <c r="F587">
        <v>36.4</v>
      </c>
      <c r="G587" s="1">
        <v>123</v>
      </c>
      <c r="H587">
        <f t="shared" si="111"/>
        <v>-57.000000000000007</v>
      </c>
      <c r="I587">
        <f t="shared" si="112"/>
        <v>-3.3529411764705888</v>
      </c>
      <c r="J587">
        <f t="shared" si="113"/>
        <v>0</v>
      </c>
      <c r="K587">
        <f t="shared" si="114"/>
        <v>0.94226603101549489</v>
      </c>
      <c r="L587">
        <f t="shared" si="115"/>
        <v>0</v>
      </c>
      <c r="M587" s="4">
        <f t="shared" si="116"/>
        <v>0</v>
      </c>
      <c r="N587">
        <f t="shared" si="117"/>
        <v>0</v>
      </c>
      <c r="O587" cm="1">
        <f t="array" ref="O587:Q587">_xlfn.XLOOKUP(C587, X$2:X$7, AG$2:AI$7)</f>
        <v>57.8</v>
      </c>
      <c r="P587">
        <v>-6.4299999999999996E-2</v>
      </c>
      <c r="Q587">
        <v>0</v>
      </c>
      <c r="R587">
        <f t="shared" si="118"/>
        <v>2.4786035451991557E-2</v>
      </c>
      <c r="S587" s="4">
        <f t="shared" si="119"/>
        <v>1</v>
      </c>
      <c r="T587">
        <f t="shared" si="120"/>
        <v>-1</v>
      </c>
      <c r="U587">
        <f t="shared" si="121"/>
        <v>-1</v>
      </c>
    </row>
    <row r="588" spans="1:21">
      <c r="A588" t="s">
        <v>306</v>
      </c>
      <c r="B588" t="s">
        <v>94</v>
      </c>
      <c r="C588" t="s">
        <v>407</v>
      </c>
      <c r="D588" s="1">
        <v>116.9</v>
      </c>
      <c r="E588" s="1">
        <f t="shared" si="110"/>
        <v>93.4</v>
      </c>
      <c r="F588">
        <v>22.4</v>
      </c>
      <c r="G588" s="1">
        <v>147</v>
      </c>
      <c r="H588">
        <f t="shared" si="111"/>
        <v>-71</v>
      </c>
      <c r="I588">
        <f t="shared" si="112"/>
        <v>-4.1764705882352944</v>
      </c>
      <c r="J588">
        <f t="shared" si="113"/>
        <v>0</v>
      </c>
      <c r="K588">
        <f t="shared" si="114"/>
        <v>0.94226603101549489</v>
      </c>
      <c r="L588">
        <f t="shared" si="115"/>
        <v>0</v>
      </c>
      <c r="M588" s="4">
        <f t="shared" si="116"/>
        <v>0</v>
      </c>
      <c r="N588">
        <f t="shared" si="117"/>
        <v>0</v>
      </c>
      <c r="O588" cm="1">
        <f t="array" ref="O588:Q588">_xlfn.XLOOKUP(C588, X$2:X$7, AG$2:AI$7)</f>
        <v>57.8</v>
      </c>
      <c r="P588">
        <v>-6.4299999999999996E-2</v>
      </c>
      <c r="Q588">
        <v>0</v>
      </c>
      <c r="R588">
        <f t="shared" si="118"/>
        <v>5.2966810528797667E-3</v>
      </c>
      <c r="S588" s="4">
        <f t="shared" si="119"/>
        <v>1</v>
      </c>
      <c r="T588">
        <f t="shared" si="120"/>
        <v>-1</v>
      </c>
      <c r="U588">
        <f t="shared" si="121"/>
        <v>-1</v>
      </c>
    </row>
    <row r="589" spans="1:21">
      <c r="A589" t="s">
        <v>307</v>
      </c>
      <c r="B589" t="s">
        <v>94</v>
      </c>
      <c r="C589" t="s">
        <v>407</v>
      </c>
      <c r="D589" s="1">
        <v>116.9</v>
      </c>
      <c r="E589" s="1">
        <f t="shared" si="110"/>
        <v>93.4</v>
      </c>
      <c r="F589">
        <v>22.4</v>
      </c>
      <c r="G589" s="1">
        <v>148</v>
      </c>
      <c r="H589">
        <f t="shared" si="111"/>
        <v>-71</v>
      </c>
      <c r="I589">
        <f t="shared" si="112"/>
        <v>-4.1764705882352944</v>
      </c>
      <c r="J589">
        <f t="shared" si="113"/>
        <v>0</v>
      </c>
      <c r="K589">
        <f t="shared" si="114"/>
        <v>0.94226603101549489</v>
      </c>
      <c r="L589">
        <f t="shared" si="115"/>
        <v>0</v>
      </c>
      <c r="M589" s="4">
        <f t="shared" si="116"/>
        <v>0</v>
      </c>
      <c r="N589">
        <f t="shared" si="117"/>
        <v>0</v>
      </c>
      <c r="O589" cm="1">
        <f t="array" ref="O589:Q589">_xlfn.XLOOKUP(C589, X$2:X$7, AG$2:AI$7)</f>
        <v>57.8</v>
      </c>
      <c r="P589">
        <v>-6.4299999999999996E-2</v>
      </c>
      <c r="Q589">
        <v>0</v>
      </c>
      <c r="R589">
        <f t="shared" si="118"/>
        <v>4.9668230380800994E-3</v>
      </c>
      <c r="S589" s="4">
        <f t="shared" si="119"/>
        <v>1</v>
      </c>
      <c r="T589">
        <f t="shared" si="120"/>
        <v>-1</v>
      </c>
      <c r="U589">
        <f t="shared" si="121"/>
        <v>-1</v>
      </c>
    </row>
    <row r="590" spans="1:21">
      <c r="A590" t="s">
        <v>363</v>
      </c>
      <c r="B590" t="s">
        <v>94</v>
      </c>
      <c r="C590" t="s">
        <v>407</v>
      </c>
      <c r="D590" s="1">
        <v>116.9</v>
      </c>
      <c r="E590" s="1">
        <f t="shared" si="110"/>
        <v>93.4</v>
      </c>
      <c r="F590">
        <v>8</v>
      </c>
      <c r="G590" s="1">
        <v>204</v>
      </c>
      <c r="H590">
        <f t="shared" si="111"/>
        <v>-85.4</v>
      </c>
      <c r="I590">
        <f t="shared" si="112"/>
        <v>-5.0235294117647058</v>
      </c>
      <c r="J590">
        <f t="shared" si="113"/>
        <v>0</v>
      </c>
      <c r="K590">
        <f t="shared" si="114"/>
        <v>0.94226603101549489</v>
      </c>
      <c r="L590">
        <f t="shared" si="115"/>
        <v>0</v>
      </c>
      <c r="M590" s="4">
        <f t="shared" si="116"/>
        <v>0</v>
      </c>
      <c r="N590">
        <f t="shared" si="117"/>
        <v>0</v>
      </c>
      <c r="O590" cm="1">
        <f t="array" ref="O590:Q590">_xlfn.XLOOKUP(C590, X$2:X$7, AG$2:AI$7)</f>
        <v>57.8</v>
      </c>
      <c r="P590">
        <v>-6.4299999999999996E-2</v>
      </c>
      <c r="Q590">
        <v>0</v>
      </c>
      <c r="R590">
        <f t="shared" si="118"/>
        <v>1.3560356787830092E-4</v>
      </c>
      <c r="S590" s="4">
        <f t="shared" si="119"/>
        <v>1</v>
      </c>
      <c r="T590">
        <f t="shared" si="120"/>
        <v>-1</v>
      </c>
      <c r="U590">
        <f t="shared" si="121"/>
        <v>-1</v>
      </c>
    </row>
    <row r="591" spans="1:21">
      <c r="A591" t="s">
        <v>129</v>
      </c>
      <c r="B591" t="s">
        <v>76</v>
      </c>
      <c r="C591" t="s">
        <v>159</v>
      </c>
      <c r="D591" s="1">
        <v>228</v>
      </c>
      <c r="E591" s="1">
        <f t="shared" si="110"/>
        <v>190</v>
      </c>
      <c r="F591">
        <v>18.899999999999999</v>
      </c>
      <c r="G591" s="1">
        <v>59</v>
      </c>
      <c r="H591">
        <f t="shared" si="111"/>
        <v>-171.1</v>
      </c>
      <c r="I591">
        <f t="shared" si="112"/>
        <v>-10.064705882352941</v>
      </c>
      <c r="J591">
        <f t="shared" si="113"/>
        <v>0</v>
      </c>
      <c r="K591">
        <f t="shared" si="114"/>
        <v>0.57566309754037293</v>
      </c>
      <c r="L591">
        <f t="shared" si="115"/>
        <v>0</v>
      </c>
      <c r="M591" s="4">
        <f t="shared" si="116"/>
        <v>0</v>
      </c>
      <c r="N591">
        <f t="shared" si="117"/>
        <v>0</v>
      </c>
      <c r="O591" cm="1">
        <f t="array" ref="O591:Q591">_xlfn.XLOOKUP(C591, X$2:X$7, AG$2:AI$7)</f>
        <v>56.4</v>
      </c>
      <c r="P591">
        <v>-0.16300000000000001</v>
      </c>
      <c r="Q591">
        <v>0</v>
      </c>
      <c r="R591">
        <f t="shared" si="118"/>
        <v>4.382681671438471E-3</v>
      </c>
      <c r="S591" s="4">
        <f t="shared" si="119"/>
        <v>1</v>
      </c>
      <c r="T591">
        <f t="shared" si="120"/>
        <v>-1</v>
      </c>
      <c r="U591">
        <f t="shared" si="121"/>
        <v>-1</v>
      </c>
    </row>
    <row r="592" spans="1:21">
      <c r="A592" t="s">
        <v>147</v>
      </c>
      <c r="B592" t="s">
        <v>76</v>
      </c>
      <c r="C592" t="s">
        <v>159</v>
      </c>
      <c r="D592" s="1">
        <v>228</v>
      </c>
      <c r="E592" s="1">
        <f t="shared" si="110"/>
        <v>190</v>
      </c>
      <c r="F592">
        <v>9.1</v>
      </c>
      <c r="G592" s="1">
        <v>77</v>
      </c>
      <c r="H592">
        <f t="shared" si="111"/>
        <v>-180.9</v>
      </c>
      <c r="I592">
        <f t="shared" si="112"/>
        <v>-10.641176470588235</v>
      </c>
      <c r="J592">
        <f t="shared" si="113"/>
        <v>0</v>
      </c>
      <c r="K592">
        <f t="shared" si="114"/>
        <v>0.57566309754037293</v>
      </c>
      <c r="L592">
        <f t="shared" si="115"/>
        <v>0</v>
      </c>
      <c r="M592" s="4">
        <f t="shared" si="116"/>
        <v>0</v>
      </c>
      <c r="N592">
        <f t="shared" si="117"/>
        <v>0</v>
      </c>
      <c r="O592" cm="1">
        <f t="array" ref="O592:Q592">_xlfn.XLOOKUP(C592, X$2:X$7, AG$2:AI$7)</f>
        <v>56.4</v>
      </c>
      <c r="P592">
        <v>-0.16300000000000001</v>
      </c>
      <c r="Q592">
        <v>0</v>
      </c>
      <c r="R592">
        <f t="shared" si="118"/>
        <v>2.3308800119052446E-4</v>
      </c>
      <c r="S592" s="4">
        <f t="shared" si="119"/>
        <v>1</v>
      </c>
      <c r="T592">
        <f t="shared" si="120"/>
        <v>-1</v>
      </c>
      <c r="U592">
        <f t="shared" si="121"/>
        <v>-1</v>
      </c>
    </row>
    <row r="593" spans="1:21">
      <c r="A593" t="s">
        <v>472</v>
      </c>
      <c r="B593" t="s">
        <v>76</v>
      </c>
      <c r="C593" t="s">
        <v>586</v>
      </c>
      <c r="D593" s="1">
        <v>107.9</v>
      </c>
      <c r="E593" s="1">
        <f t="shared" si="110"/>
        <v>73</v>
      </c>
      <c r="F593">
        <v>60.2</v>
      </c>
      <c r="G593" s="1">
        <v>65</v>
      </c>
      <c r="H593">
        <f t="shared" si="111"/>
        <v>-12.799999999999997</v>
      </c>
      <c r="I593">
        <f t="shared" si="112"/>
        <v>-0.75294117647058811</v>
      </c>
      <c r="J593">
        <f t="shared" si="113"/>
        <v>0</v>
      </c>
      <c r="K593">
        <f t="shared" si="114"/>
        <v>1.0011070456397422</v>
      </c>
      <c r="L593">
        <f t="shared" si="115"/>
        <v>0</v>
      </c>
      <c r="M593" s="4">
        <f t="shared" si="116"/>
        <v>0</v>
      </c>
      <c r="N593">
        <f t="shared" si="117"/>
        <v>0</v>
      </c>
      <c r="O593" cm="1">
        <f t="array" ref="O593:Q593">_xlfn.XLOOKUP(C593, X$2:X$7, AG$2:AI$7)</f>
        <v>5.0900000000000001E-2</v>
      </c>
      <c r="P593">
        <v>-3.9</v>
      </c>
      <c r="Q593">
        <v>73.900000000000006</v>
      </c>
      <c r="R593">
        <f t="shared" si="118"/>
        <v>41.373067500000019</v>
      </c>
      <c r="S593" s="4">
        <f t="shared" si="119"/>
        <v>1</v>
      </c>
      <c r="T593">
        <f t="shared" si="120"/>
        <v>-1</v>
      </c>
      <c r="U593">
        <f t="shared" si="121"/>
        <v>-1</v>
      </c>
    </row>
    <row r="594" spans="1:21">
      <c r="A594" t="s">
        <v>399</v>
      </c>
      <c r="B594" t="s">
        <v>76</v>
      </c>
      <c r="C594" t="s">
        <v>586</v>
      </c>
      <c r="D594" s="1">
        <v>107.9</v>
      </c>
      <c r="E594" s="1">
        <f t="shared" si="110"/>
        <v>73</v>
      </c>
      <c r="F594">
        <v>16.899999999999999</v>
      </c>
      <c r="G594" s="1">
        <v>129</v>
      </c>
      <c r="H594">
        <f t="shared" si="111"/>
        <v>-56.1</v>
      </c>
      <c r="I594">
        <f t="shared" si="112"/>
        <v>-3.3000000000000003</v>
      </c>
      <c r="J594">
        <f t="shared" si="113"/>
        <v>0</v>
      </c>
      <c r="K594">
        <f t="shared" si="114"/>
        <v>1.0011070456397422</v>
      </c>
      <c r="L594">
        <f t="shared" si="115"/>
        <v>0</v>
      </c>
      <c r="M594" s="4">
        <f t="shared" si="116"/>
        <v>0</v>
      </c>
      <c r="N594">
        <f t="shared" si="117"/>
        <v>0</v>
      </c>
      <c r="O594" cm="1">
        <f t="array" ref="O594:Q594">_xlfn.XLOOKUP(C594, X$2:X$7, AG$2:AI$7)</f>
        <v>5.0900000000000001E-2</v>
      </c>
      <c r="P594">
        <v>-3.9</v>
      </c>
      <c r="Q594">
        <v>73.900000000000006</v>
      </c>
      <c r="R594">
        <f t="shared" si="118"/>
        <v>487.60399230000019</v>
      </c>
      <c r="S594" s="4">
        <f t="shared" si="119"/>
        <v>1</v>
      </c>
      <c r="T594">
        <f t="shared" si="120"/>
        <v>-1</v>
      </c>
      <c r="U594">
        <f t="shared" si="121"/>
        <v>-1</v>
      </c>
    </row>
    <row r="595" spans="1:21">
      <c r="A595" t="s">
        <v>565</v>
      </c>
      <c r="B595" t="s">
        <v>76</v>
      </c>
      <c r="C595" t="s">
        <v>586</v>
      </c>
      <c r="D595" s="1">
        <v>107.9</v>
      </c>
      <c r="E595" s="1">
        <f t="shared" si="110"/>
        <v>73</v>
      </c>
      <c r="F595">
        <v>7.7</v>
      </c>
      <c r="G595" s="1">
        <v>160</v>
      </c>
      <c r="H595">
        <f t="shared" si="111"/>
        <v>-65.3</v>
      </c>
      <c r="I595">
        <f t="shared" si="112"/>
        <v>-3.841176470588235</v>
      </c>
      <c r="J595">
        <f t="shared" si="113"/>
        <v>0</v>
      </c>
      <c r="K595">
        <f t="shared" si="114"/>
        <v>1.0011070456397422</v>
      </c>
      <c r="L595">
        <f t="shared" si="115"/>
        <v>0</v>
      </c>
      <c r="M595" s="4">
        <f t="shared" si="116"/>
        <v>0</v>
      </c>
      <c r="N595">
        <f t="shared" si="117"/>
        <v>0</v>
      </c>
      <c r="O595" cm="1">
        <f t="array" ref="O595:Q595">_xlfn.XLOOKUP(C595, X$2:X$7, AG$2:AI$7)</f>
        <v>5.0900000000000001E-2</v>
      </c>
      <c r="P595">
        <v>-3.9</v>
      </c>
      <c r="Q595">
        <v>73.900000000000006</v>
      </c>
      <c r="R595">
        <f t="shared" si="118"/>
        <v>878.68097999999998</v>
      </c>
      <c r="S595" s="4">
        <f t="shared" si="119"/>
        <v>1</v>
      </c>
      <c r="T595">
        <f t="shared" si="120"/>
        <v>-1</v>
      </c>
      <c r="U595">
        <f t="shared" si="121"/>
        <v>-1</v>
      </c>
    </row>
    <row r="596" spans="1:21">
      <c r="A596" t="s">
        <v>575</v>
      </c>
      <c r="B596" t="s">
        <v>76</v>
      </c>
      <c r="C596" t="s">
        <v>586</v>
      </c>
      <c r="D596" s="1">
        <v>107.9</v>
      </c>
      <c r="E596" s="1">
        <f t="shared" si="110"/>
        <v>73</v>
      </c>
      <c r="F596">
        <v>2.2999999999999998</v>
      </c>
      <c r="G596" s="1">
        <v>170</v>
      </c>
      <c r="H596">
        <f t="shared" si="111"/>
        <v>-70.7</v>
      </c>
      <c r="I596">
        <f t="shared" si="112"/>
        <v>-4.158823529411765</v>
      </c>
      <c r="J596">
        <f t="shared" si="113"/>
        <v>0</v>
      </c>
      <c r="K596">
        <f t="shared" si="114"/>
        <v>1.0011070456397422</v>
      </c>
      <c r="L596">
        <f t="shared" si="115"/>
        <v>0</v>
      </c>
      <c r="M596" s="4">
        <f t="shared" si="116"/>
        <v>0</v>
      </c>
      <c r="N596">
        <f t="shared" si="117"/>
        <v>0</v>
      </c>
      <c r="O596" cm="1">
        <f t="array" ref="O596:Q596">_xlfn.XLOOKUP(C596, X$2:X$7, AG$2:AI$7)</f>
        <v>5.0900000000000001E-2</v>
      </c>
      <c r="P596">
        <v>-3.9</v>
      </c>
      <c r="Q596">
        <v>73.900000000000006</v>
      </c>
      <c r="R596">
        <f t="shared" si="118"/>
        <v>1029.1889699999999</v>
      </c>
      <c r="S596" s="4">
        <f t="shared" si="119"/>
        <v>1</v>
      </c>
      <c r="T596">
        <f t="shared" si="120"/>
        <v>-1</v>
      </c>
      <c r="U596">
        <f t="shared" si="121"/>
        <v>-1</v>
      </c>
    </row>
    <row r="597" spans="1:21">
      <c r="A597" t="s">
        <v>583</v>
      </c>
      <c r="B597" t="s">
        <v>76</v>
      </c>
      <c r="C597" t="s">
        <v>586</v>
      </c>
      <c r="D597" s="1">
        <v>107.9</v>
      </c>
      <c r="E597" s="1">
        <f t="shared" si="110"/>
        <v>73</v>
      </c>
      <c r="F597">
        <v>0</v>
      </c>
      <c r="G597" s="1">
        <v>178</v>
      </c>
      <c r="H597">
        <f t="shared" si="111"/>
        <v>-73</v>
      </c>
      <c r="I597">
        <f t="shared" si="112"/>
        <v>-4.2941176470588234</v>
      </c>
      <c r="J597">
        <f t="shared" si="113"/>
        <v>0</v>
      </c>
      <c r="K597">
        <f t="shared" si="114"/>
        <v>1.0011070456397422</v>
      </c>
      <c r="L597">
        <f t="shared" si="115"/>
        <v>0</v>
      </c>
      <c r="M597" s="4">
        <f t="shared" si="116"/>
        <v>0</v>
      </c>
      <c r="N597">
        <f t="shared" si="117"/>
        <v>0</v>
      </c>
      <c r="O597" cm="1">
        <f t="array" ref="O597:Q597">_xlfn.XLOOKUP(C597, X$2:X$7, AG$2:AI$7)</f>
        <v>5.0900000000000001E-2</v>
      </c>
      <c r="P597">
        <v>-3.9</v>
      </c>
      <c r="Q597">
        <v>73.900000000000006</v>
      </c>
      <c r="R597">
        <f t="shared" si="118"/>
        <v>1158.1490052000001</v>
      </c>
      <c r="S597" s="4">
        <f t="shared" si="119"/>
        <v>1</v>
      </c>
      <c r="T597">
        <f t="shared" si="120"/>
        <v>-1</v>
      </c>
      <c r="U597">
        <f t="shared" si="121"/>
        <v>-1</v>
      </c>
    </row>
    <row r="598" spans="1:21">
      <c r="A598" t="s">
        <v>621</v>
      </c>
      <c r="B598" t="s">
        <v>76</v>
      </c>
      <c r="C598" t="s">
        <v>729</v>
      </c>
      <c r="D598" s="1">
        <v>99</v>
      </c>
      <c r="E598" s="1">
        <f t="shared" si="110"/>
        <v>82.5</v>
      </c>
      <c r="F598">
        <v>66.8</v>
      </c>
      <c r="G598" s="1">
        <v>35</v>
      </c>
      <c r="H598">
        <f t="shared" si="111"/>
        <v>-15.700000000000003</v>
      </c>
      <c r="I598">
        <f t="shared" si="112"/>
        <v>-0.92352941176470604</v>
      </c>
      <c r="J598">
        <f t="shared" si="113"/>
        <v>0</v>
      </c>
      <c r="K598">
        <f t="shared" si="114"/>
        <v>1.0909252297006058</v>
      </c>
      <c r="L598">
        <f t="shared" si="115"/>
        <v>0</v>
      </c>
      <c r="M598" s="4">
        <f t="shared" si="116"/>
        <v>0</v>
      </c>
      <c r="N598">
        <f t="shared" si="117"/>
        <v>0</v>
      </c>
      <c r="O598" cm="1">
        <f t="array" ref="O598:Q598">_xlfn.XLOOKUP(C598, X$2:X$7, AG$2:AI$7)</f>
        <v>55.4</v>
      </c>
      <c r="P598">
        <v>-0.253</v>
      </c>
      <c r="Q598">
        <v>0</v>
      </c>
      <c r="R598">
        <f t="shared" si="118"/>
        <v>9.2236535814109316E-3</v>
      </c>
      <c r="S598" s="4">
        <f t="shared" si="119"/>
        <v>1</v>
      </c>
      <c r="T598">
        <f t="shared" si="120"/>
        <v>-1</v>
      </c>
      <c r="U598">
        <f t="shared" si="121"/>
        <v>-1</v>
      </c>
    </row>
    <row r="599" spans="1:21">
      <c r="A599" t="s">
        <v>627</v>
      </c>
      <c r="B599" t="s">
        <v>76</v>
      </c>
      <c r="C599" t="s">
        <v>729</v>
      </c>
      <c r="D599" s="1">
        <v>99</v>
      </c>
      <c r="E599" s="1">
        <f t="shared" si="110"/>
        <v>82.5</v>
      </c>
      <c r="F599">
        <v>39.9</v>
      </c>
      <c r="G599" s="1">
        <v>41</v>
      </c>
      <c r="H599">
        <f t="shared" si="111"/>
        <v>-42.6</v>
      </c>
      <c r="I599">
        <f t="shared" si="112"/>
        <v>-2.5058823529411764</v>
      </c>
      <c r="J599">
        <f t="shared" si="113"/>
        <v>0</v>
      </c>
      <c r="K599">
        <f t="shared" si="114"/>
        <v>1.0909252297006058</v>
      </c>
      <c r="L599">
        <f t="shared" si="115"/>
        <v>0</v>
      </c>
      <c r="M599" s="4">
        <f t="shared" si="116"/>
        <v>0</v>
      </c>
      <c r="N599">
        <f t="shared" si="117"/>
        <v>0</v>
      </c>
      <c r="O599" cm="1">
        <f t="array" ref="O599:Q599">_xlfn.XLOOKUP(C599, X$2:X$7, AG$2:AI$7)</f>
        <v>55.4</v>
      </c>
      <c r="P599">
        <v>-0.253</v>
      </c>
      <c r="Q599">
        <v>0</v>
      </c>
      <c r="R599">
        <f t="shared" si="118"/>
        <v>2.0213613620791763E-3</v>
      </c>
      <c r="S599" s="4">
        <f t="shared" si="119"/>
        <v>1</v>
      </c>
      <c r="T599">
        <f t="shared" si="120"/>
        <v>-1</v>
      </c>
      <c r="U599">
        <f t="shared" si="121"/>
        <v>-1</v>
      </c>
    </row>
    <row r="600" spans="1:21">
      <c r="A600" t="s">
        <v>646</v>
      </c>
      <c r="B600" t="s">
        <v>76</v>
      </c>
      <c r="C600" t="s">
        <v>729</v>
      </c>
      <c r="D600" s="1">
        <v>99</v>
      </c>
      <c r="E600" s="1">
        <f t="shared" si="110"/>
        <v>82.5</v>
      </c>
      <c r="F600">
        <v>28.5</v>
      </c>
      <c r="G600" s="1">
        <v>60</v>
      </c>
      <c r="H600">
        <f t="shared" si="111"/>
        <v>-54</v>
      </c>
      <c r="I600">
        <f t="shared" si="112"/>
        <v>-3.1764705882352939</v>
      </c>
      <c r="J600">
        <f t="shared" si="113"/>
        <v>0</v>
      </c>
      <c r="K600">
        <f t="shared" si="114"/>
        <v>1.0909252297006058</v>
      </c>
      <c r="L600">
        <f t="shared" si="115"/>
        <v>0</v>
      </c>
      <c r="M600" s="4">
        <f t="shared" si="116"/>
        <v>0</v>
      </c>
      <c r="N600">
        <f t="shared" si="117"/>
        <v>0</v>
      </c>
      <c r="O600" cm="1">
        <f t="array" ref="O600:Q600">_xlfn.XLOOKUP(C600, X$2:X$7, AG$2:AI$7)</f>
        <v>55.4</v>
      </c>
      <c r="P600">
        <v>-0.253</v>
      </c>
      <c r="Q600">
        <v>0</v>
      </c>
      <c r="R600">
        <f t="shared" si="118"/>
        <v>1.6519252270991103E-5</v>
      </c>
      <c r="S600" s="4">
        <f t="shared" si="119"/>
        <v>1</v>
      </c>
      <c r="T600">
        <f t="shared" si="120"/>
        <v>-1</v>
      </c>
      <c r="U600">
        <f t="shared" si="121"/>
        <v>-1</v>
      </c>
    </row>
    <row r="601" spans="1:21">
      <c r="A601" t="s">
        <v>304</v>
      </c>
      <c r="B601" t="s">
        <v>76</v>
      </c>
      <c r="C601" t="s">
        <v>407</v>
      </c>
      <c r="D601" s="1">
        <v>116.9</v>
      </c>
      <c r="E601" s="1">
        <f t="shared" si="110"/>
        <v>93.4</v>
      </c>
      <c r="F601">
        <v>24.2</v>
      </c>
      <c r="G601" s="1">
        <v>145</v>
      </c>
      <c r="H601">
        <f t="shared" si="111"/>
        <v>-69.2</v>
      </c>
      <c r="I601">
        <f t="shared" si="112"/>
        <v>-4.0705882352941174</v>
      </c>
      <c r="J601">
        <f t="shared" si="113"/>
        <v>0</v>
      </c>
      <c r="K601">
        <f t="shared" si="114"/>
        <v>0.94226603101549489</v>
      </c>
      <c r="L601">
        <f t="shared" si="115"/>
        <v>0</v>
      </c>
      <c r="M601" s="4">
        <f t="shared" si="116"/>
        <v>0</v>
      </c>
      <c r="N601">
        <f t="shared" si="117"/>
        <v>0</v>
      </c>
      <c r="O601" cm="1">
        <f t="array" ref="O601:Q601">_xlfn.XLOOKUP(C601, X$2:X$7, AG$2:AI$7)</f>
        <v>57.8</v>
      </c>
      <c r="P601">
        <v>-6.4299999999999996E-2</v>
      </c>
      <c r="Q601">
        <v>0</v>
      </c>
      <c r="R601">
        <f t="shared" si="118"/>
        <v>6.0235718140414438E-3</v>
      </c>
      <c r="S601" s="4">
        <f t="shared" si="119"/>
        <v>1</v>
      </c>
      <c r="T601">
        <f t="shared" si="120"/>
        <v>-1</v>
      </c>
      <c r="U601">
        <f t="shared" si="121"/>
        <v>-1</v>
      </c>
    </row>
    <row r="602" spans="1:21">
      <c r="A602" t="s">
        <v>319</v>
      </c>
      <c r="B602" t="s">
        <v>76</v>
      </c>
      <c r="C602" t="s">
        <v>407</v>
      </c>
      <c r="D602" s="1">
        <v>116.9</v>
      </c>
      <c r="E602" s="1">
        <f t="shared" si="110"/>
        <v>93.4</v>
      </c>
      <c r="F602">
        <v>17.899999999999999</v>
      </c>
      <c r="G602" s="1">
        <v>160</v>
      </c>
      <c r="H602">
        <f t="shared" si="111"/>
        <v>-75.5</v>
      </c>
      <c r="I602">
        <f t="shared" si="112"/>
        <v>-4.4411764705882355</v>
      </c>
      <c r="J602">
        <f t="shared" si="113"/>
        <v>0</v>
      </c>
      <c r="K602">
        <f t="shared" si="114"/>
        <v>0.94226603101549489</v>
      </c>
      <c r="L602">
        <f t="shared" si="115"/>
        <v>0</v>
      </c>
      <c r="M602" s="4">
        <f t="shared" si="116"/>
        <v>0</v>
      </c>
      <c r="N602">
        <f t="shared" si="117"/>
        <v>0</v>
      </c>
      <c r="O602" cm="1">
        <f t="array" ref="O602:Q602">_xlfn.XLOOKUP(C602, X$2:X$7, AG$2:AI$7)</f>
        <v>57.8</v>
      </c>
      <c r="P602">
        <v>-6.4299999999999996E-2</v>
      </c>
      <c r="Q602">
        <v>0</v>
      </c>
      <c r="R602">
        <f t="shared" si="118"/>
        <v>2.2960273903127513E-3</v>
      </c>
      <c r="S602" s="4">
        <f t="shared" si="119"/>
        <v>1</v>
      </c>
      <c r="T602">
        <f t="shared" si="120"/>
        <v>-1</v>
      </c>
      <c r="U602">
        <f t="shared" si="121"/>
        <v>-1</v>
      </c>
    </row>
    <row r="603" spans="1:21">
      <c r="A603" t="s">
        <v>327</v>
      </c>
      <c r="B603" t="s">
        <v>76</v>
      </c>
      <c r="C603" t="s">
        <v>407</v>
      </c>
      <c r="D603" s="1">
        <v>116.9</v>
      </c>
      <c r="E603" s="1">
        <f t="shared" si="110"/>
        <v>93.4</v>
      </c>
      <c r="F603">
        <v>14.8</v>
      </c>
      <c r="G603" s="1">
        <v>168</v>
      </c>
      <c r="H603">
        <f t="shared" si="111"/>
        <v>-78.600000000000009</v>
      </c>
      <c r="I603">
        <f t="shared" si="112"/>
        <v>-4.6235294117647063</v>
      </c>
      <c r="J603">
        <f t="shared" si="113"/>
        <v>0</v>
      </c>
      <c r="K603">
        <f t="shared" si="114"/>
        <v>0.94226603101549489</v>
      </c>
      <c r="L603">
        <f t="shared" si="115"/>
        <v>0</v>
      </c>
      <c r="M603" s="4">
        <f t="shared" si="116"/>
        <v>0</v>
      </c>
      <c r="N603">
        <f t="shared" si="117"/>
        <v>0</v>
      </c>
      <c r="O603" cm="1">
        <f t="array" ref="O603:Q603">_xlfn.XLOOKUP(C603, X$2:X$7, AG$2:AI$7)</f>
        <v>57.8</v>
      </c>
      <c r="P603">
        <v>-6.4299999999999996E-2</v>
      </c>
      <c r="Q603">
        <v>0</v>
      </c>
      <c r="R603">
        <f t="shared" si="118"/>
        <v>1.3727011045976008E-3</v>
      </c>
      <c r="S603" s="4">
        <f t="shared" si="119"/>
        <v>1</v>
      </c>
      <c r="T603">
        <f t="shared" si="120"/>
        <v>-1</v>
      </c>
      <c r="U603">
        <f t="shared" si="121"/>
        <v>-1</v>
      </c>
    </row>
    <row r="604" spans="1:21">
      <c r="A604" t="s">
        <v>376</v>
      </c>
      <c r="B604" t="s">
        <v>76</v>
      </c>
      <c r="C604" t="s">
        <v>407</v>
      </c>
      <c r="D604" s="1">
        <v>116.9</v>
      </c>
      <c r="E604" s="1">
        <f t="shared" si="110"/>
        <v>93.4</v>
      </c>
      <c r="F604">
        <v>6.7</v>
      </c>
      <c r="G604" s="1">
        <v>217</v>
      </c>
      <c r="H604">
        <f t="shared" si="111"/>
        <v>-86.7</v>
      </c>
      <c r="I604">
        <f t="shared" si="112"/>
        <v>-5.1000000000000005</v>
      </c>
      <c r="J604">
        <f t="shared" si="113"/>
        <v>0</v>
      </c>
      <c r="K604">
        <f t="shared" si="114"/>
        <v>0.94226603101549489</v>
      </c>
      <c r="L604">
        <f t="shared" si="115"/>
        <v>0</v>
      </c>
      <c r="M604" s="4">
        <f t="shared" si="116"/>
        <v>0</v>
      </c>
      <c r="N604">
        <f t="shared" si="117"/>
        <v>0</v>
      </c>
      <c r="O604" cm="1">
        <f t="array" ref="O604:Q604">_xlfn.XLOOKUP(C604, X$2:X$7, AG$2:AI$7)</f>
        <v>57.8</v>
      </c>
      <c r="P604">
        <v>-6.4299999999999996E-2</v>
      </c>
      <c r="Q604">
        <v>0</v>
      </c>
      <c r="R604">
        <f t="shared" si="118"/>
        <v>5.8782000079735759E-5</v>
      </c>
      <c r="S604" s="4">
        <f t="shared" si="119"/>
        <v>1</v>
      </c>
      <c r="T604">
        <f t="shared" si="120"/>
        <v>-1</v>
      </c>
      <c r="U604">
        <f t="shared" si="121"/>
        <v>-1</v>
      </c>
    </row>
    <row r="605" spans="1:21">
      <c r="A605" t="s">
        <v>399</v>
      </c>
      <c r="B605" t="s">
        <v>76</v>
      </c>
      <c r="C605" t="s">
        <v>407</v>
      </c>
      <c r="D605" s="1">
        <v>116.9</v>
      </c>
      <c r="E605" s="1">
        <f t="shared" si="110"/>
        <v>93.4</v>
      </c>
      <c r="F605">
        <v>1.5</v>
      </c>
      <c r="G605" s="1">
        <v>240</v>
      </c>
      <c r="H605">
        <f t="shared" si="111"/>
        <v>-91.9</v>
      </c>
      <c r="I605">
        <f t="shared" si="112"/>
        <v>-5.4058823529411768</v>
      </c>
      <c r="J605">
        <f t="shared" si="113"/>
        <v>0</v>
      </c>
      <c r="K605">
        <f t="shared" si="114"/>
        <v>0.94226603101549489</v>
      </c>
      <c r="L605">
        <f t="shared" si="115"/>
        <v>0</v>
      </c>
      <c r="M605" s="4">
        <f t="shared" si="116"/>
        <v>0</v>
      </c>
      <c r="N605">
        <f t="shared" si="117"/>
        <v>0</v>
      </c>
      <c r="O605" cm="1">
        <f t="array" ref="O605:Q605">_xlfn.XLOOKUP(C605, X$2:X$7, AG$2:AI$7)</f>
        <v>57.8</v>
      </c>
      <c r="P605">
        <v>-6.4299999999999996E-2</v>
      </c>
      <c r="Q605">
        <v>0</v>
      </c>
      <c r="R605">
        <f t="shared" si="118"/>
        <v>1.3395725813679884E-5</v>
      </c>
      <c r="S605" s="4">
        <f t="shared" si="119"/>
        <v>1</v>
      </c>
      <c r="T605">
        <f t="shared" si="120"/>
        <v>-1</v>
      </c>
      <c r="U605">
        <f t="shared" si="121"/>
        <v>-1</v>
      </c>
    </row>
    <row r="606" spans="1:21">
      <c r="A606" t="s">
        <v>117</v>
      </c>
      <c r="B606" t="s">
        <v>62</v>
      </c>
      <c r="C606" t="s">
        <v>159</v>
      </c>
      <c r="D606" s="1">
        <v>228</v>
      </c>
      <c r="E606" s="1">
        <f t="shared" si="110"/>
        <v>190</v>
      </c>
      <c r="F606">
        <v>24.9</v>
      </c>
      <c r="G606" s="1">
        <v>47</v>
      </c>
      <c r="H606">
        <f t="shared" si="111"/>
        <v>-165.1</v>
      </c>
      <c r="I606">
        <f t="shared" si="112"/>
        <v>-9.7117647058823522</v>
      </c>
      <c r="J606">
        <f t="shared" si="113"/>
        <v>0</v>
      </c>
      <c r="K606">
        <f t="shared" si="114"/>
        <v>0.57566309754037293</v>
      </c>
      <c r="L606">
        <f t="shared" si="115"/>
        <v>0</v>
      </c>
      <c r="M606" s="4">
        <f t="shared" si="116"/>
        <v>0</v>
      </c>
      <c r="N606">
        <f t="shared" si="117"/>
        <v>0</v>
      </c>
      <c r="O606" cm="1">
        <f t="array" ref="O606:Q606">_xlfn.XLOOKUP(C606, X$2:X$7, AG$2:AI$7)</f>
        <v>56.4</v>
      </c>
      <c r="P606">
        <v>-0.16300000000000001</v>
      </c>
      <c r="Q606">
        <v>0</v>
      </c>
      <c r="R606">
        <f t="shared" si="118"/>
        <v>3.0989882826749873E-2</v>
      </c>
      <c r="S606" s="4">
        <f t="shared" si="119"/>
        <v>1</v>
      </c>
      <c r="T606">
        <f t="shared" si="120"/>
        <v>-1</v>
      </c>
      <c r="U606">
        <f t="shared" si="121"/>
        <v>-1</v>
      </c>
    </row>
    <row r="607" spans="1:21">
      <c r="A607" t="s">
        <v>156</v>
      </c>
      <c r="B607" t="s">
        <v>62</v>
      </c>
      <c r="C607" t="s">
        <v>159</v>
      </c>
      <c r="D607" s="1">
        <v>228</v>
      </c>
      <c r="E607" s="1">
        <f t="shared" si="110"/>
        <v>190</v>
      </c>
      <c r="F607">
        <v>1.3</v>
      </c>
      <c r="G607" s="1">
        <v>86</v>
      </c>
      <c r="H607">
        <f t="shared" si="111"/>
        <v>-188.7</v>
      </c>
      <c r="I607">
        <f t="shared" si="112"/>
        <v>-11.1</v>
      </c>
      <c r="J607">
        <f t="shared" si="113"/>
        <v>0</v>
      </c>
      <c r="K607">
        <f t="shared" si="114"/>
        <v>0.57566309754037293</v>
      </c>
      <c r="L607">
        <f t="shared" si="115"/>
        <v>0</v>
      </c>
      <c r="M607" s="4">
        <f t="shared" si="116"/>
        <v>0</v>
      </c>
      <c r="N607">
        <f t="shared" si="117"/>
        <v>0</v>
      </c>
      <c r="O607" cm="1">
        <f t="array" ref="O607:Q607">_xlfn.XLOOKUP(C607, X$2:X$7, AG$2:AI$7)</f>
        <v>56.4</v>
      </c>
      <c r="P607">
        <v>-0.16300000000000001</v>
      </c>
      <c r="Q607">
        <v>0</v>
      </c>
      <c r="R607">
        <f t="shared" si="118"/>
        <v>5.3753891789501632E-5</v>
      </c>
      <c r="S607" s="4">
        <f t="shared" si="119"/>
        <v>1</v>
      </c>
      <c r="T607">
        <f t="shared" si="120"/>
        <v>-1</v>
      </c>
      <c r="U607">
        <f t="shared" si="121"/>
        <v>-1</v>
      </c>
    </row>
    <row r="608" spans="1:21">
      <c r="A608" t="s">
        <v>489</v>
      </c>
      <c r="B608" t="s">
        <v>62</v>
      </c>
      <c r="C608" t="s">
        <v>586</v>
      </c>
      <c r="D608" s="1">
        <v>107.9</v>
      </c>
      <c r="E608" s="1">
        <f t="shared" si="110"/>
        <v>73</v>
      </c>
      <c r="F608">
        <v>38.299999999999997</v>
      </c>
      <c r="G608" s="1">
        <v>82</v>
      </c>
      <c r="H608">
        <f t="shared" si="111"/>
        <v>-34.700000000000003</v>
      </c>
      <c r="I608">
        <f t="shared" si="112"/>
        <v>-2.0411764705882356</v>
      </c>
      <c r="J608">
        <f t="shared" si="113"/>
        <v>0</v>
      </c>
      <c r="K608">
        <f t="shared" si="114"/>
        <v>1.0011070456397422</v>
      </c>
      <c r="L608">
        <f t="shared" si="115"/>
        <v>0</v>
      </c>
      <c r="M608" s="4">
        <f t="shared" si="116"/>
        <v>0</v>
      </c>
      <c r="N608">
        <f t="shared" si="117"/>
        <v>0</v>
      </c>
      <c r="O608" cm="1">
        <f t="array" ref="O608:Q608">_xlfn.XLOOKUP(C608, X$2:X$7, AG$2:AI$7)</f>
        <v>5.0900000000000001E-2</v>
      </c>
      <c r="P608">
        <v>-3.9</v>
      </c>
      <c r="Q608">
        <v>73.900000000000006</v>
      </c>
      <c r="R608">
        <f t="shared" si="118"/>
        <v>112.44231719999999</v>
      </c>
      <c r="S608" s="4">
        <f t="shared" si="119"/>
        <v>1</v>
      </c>
      <c r="T608">
        <f t="shared" si="120"/>
        <v>-1</v>
      </c>
      <c r="U608">
        <f t="shared" si="121"/>
        <v>-1</v>
      </c>
    </row>
    <row r="609" spans="1:21">
      <c r="A609" t="s">
        <v>520</v>
      </c>
      <c r="B609" t="s">
        <v>62</v>
      </c>
      <c r="C609" t="s">
        <v>586</v>
      </c>
      <c r="D609" s="1">
        <v>107.9</v>
      </c>
      <c r="E609" s="1">
        <f t="shared" si="110"/>
        <v>73</v>
      </c>
      <c r="F609">
        <v>21.5</v>
      </c>
      <c r="G609" s="1">
        <v>114</v>
      </c>
      <c r="H609">
        <f t="shared" si="111"/>
        <v>-51.5</v>
      </c>
      <c r="I609">
        <f t="shared" si="112"/>
        <v>-3.0294117647058822</v>
      </c>
      <c r="J609">
        <f t="shared" si="113"/>
        <v>0</v>
      </c>
      <c r="K609">
        <f t="shared" si="114"/>
        <v>1.0011070456397422</v>
      </c>
      <c r="L609">
        <f t="shared" si="115"/>
        <v>0</v>
      </c>
      <c r="M609" s="4">
        <f t="shared" si="116"/>
        <v>0</v>
      </c>
      <c r="N609">
        <f t="shared" si="117"/>
        <v>0</v>
      </c>
      <c r="O609" cm="1">
        <f t="array" ref="O609:Q609">_xlfn.XLOOKUP(C609, X$2:X$7, AG$2:AI$7)</f>
        <v>5.0900000000000001E-2</v>
      </c>
      <c r="P609">
        <v>-3.9</v>
      </c>
      <c r="Q609">
        <v>73.900000000000006</v>
      </c>
      <c r="R609">
        <f t="shared" si="118"/>
        <v>339.35939880000006</v>
      </c>
      <c r="S609" s="4">
        <f t="shared" si="119"/>
        <v>1</v>
      </c>
      <c r="T609">
        <f t="shared" si="120"/>
        <v>-1</v>
      </c>
      <c r="U609">
        <f t="shared" si="121"/>
        <v>-1</v>
      </c>
    </row>
    <row r="610" spans="1:21">
      <c r="A610" t="s">
        <v>521</v>
      </c>
      <c r="B610" t="s">
        <v>62</v>
      </c>
      <c r="C610" t="s">
        <v>586</v>
      </c>
      <c r="D610" s="1">
        <v>107.9</v>
      </c>
      <c r="E610" s="1">
        <f t="shared" si="110"/>
        <v>73</v>
      </c>
      <c r="F610">
        <v>21.2</v>
      </c>
      <c r="G610" s="1">
        <v>115</v>
      </c>
      <c r="H610">
        <f t="shared" si="111"/>
        <v>-51.8</v>
      </c>
      <c r="I610">
        <f t="shared" si="112"/>
        <v>-3.0470588235294116</v>
      </c>
      <c r="J610">
        <f t="shared" si="113"/>
        <v>0</v>
      </c>
      <c r="K610">
        <f t="shared" si="114"/>
        <v>1.0011070456397422</v>
      </c>
      <c r="L610">
        <f t="shared" si="115"/>
        <v>0</v>
      </c>
      <c r="M610" s="4">
        <f t="shared" si="116"/>
        <v>0</v>
      </c>
      <c r="N610">
        <f t="shared" si="117"/>
        <v>0</v>
      </c>
      <c r="O610" cm="1">
        <f t="array" ref="O610:Q610">_xlfn.XLOOKUP(C610, X$2:X$7, AG$2:AI$7)</f>
        <v>5.0900000000000001E-2</v>
      </c>
      <c r="P610">
        <v>-3.9</v>
      </c>
      <c r="Q610">
        <v>73.900000000000006</v>
      </c>
      <c r="R610">
        <f t="shared" si="118"/>
        <v>348.41076750000002</v>
      </c>
      <c r="S610" s="4">
        <f t="shared" si="119"/>
        <v>1</v>
      </c>
      <c r="T610">
        <f t="shared" si="120"/>
        <v>-1</v>
      </c>
      <c r="U610">
        <f t="shared" si="121"/>
        <v>-1</v>
      </c>
    </row>
    <row r="611" spans="1:21">
      <c r="A611" t="s">
        <v>649</v>
      </c>
      <c r="B611" t="s">
        <v>62</v>
      </c>
      <c r="C611" t="s">
        <v>729</v>
      </c>
      <c r="D611" s="1">
        <v>99</v>
      </c>
      <c r="E611" s="1">
        <f t="shared" si="110"/>
        <v>82.5</v>
      </c>
      <c r="F611">
        <v>27.4</v>
      </c>
      <c r="G611" s="1">
        <v>63</v>
      </c>
      <c r="H611">
        <f t="shared" si="111"/>
        <v>-55.1</v>
      </c>
      <c r="I611">
        <f t="shared" si="112"/>
        <v>-3.2411764705882353</v>
      </c>
      <c r="J611">
        <f t="shared" si="113"/>
        <v>0</v>
      </c>
      <c r="K611">
        <f t="shared" si="114"/>
        <v>1.0909252297006058</v>
      </c>
      <c r="L611">
        <f t="shared" si="115"/>
        <v>0</v>
      </c>
      <c r="M611" s="4">
        <f t="shared" si="116"/>
        <v>0</v>
      </c>
      <c r="N611">
        <f t="shared" si="117"/>
        <v>0</v>
      </c>
      <c r="O611" cm="1">
        <f t="array" ref="O611:Q611">_xlfn.XLOOKUP(C611, X$2:X$7, AG$2:AI$7)</f>
        <v>55.4</v>
      </c>
      <c r="P611">
        <v>-0.253</v>
      </c>
      <c r="Q611">
        <v>0</v>
      </c>
      <c r="R611">
        <f t="shared" si="118"/>
        <v>7.733229050173934E-6</v>
      </c>
      <c r="S611" s="4">
        <f t="shared" si="119"/>
        <v>1</v>
      </c>
      <c r="T611">
        <f t="shared" si="120"/>
        <v>-1</v>
      </c>
      <c r="U611">
        <f t="shared" si="121"/>
        <v>-1</v>
      </c>
    </row>
    <row r="612" spans="1:21">
      <c r="A612" t="s">
        <v>653</v>
      </c>
      <c r="B612" t="s">
        <v>62</v>
      </c>
      <c r="C612" t="s">
        <v>729</v>
      </c>
      <c r="D612" s="1">
        <v>99</v>
      </c>
      <c r="E612" s="1">
        <f t="shared" si="110"/>
        <v>82.5</v>
      </c>
      <c r="F612">
        <v>25.5</v>
      </c>
      <c r="G612" s="1">
        <v>67</v>
      </c>
      <c r="H612">
        <f t="shared" si="111"/>
        <v>-57</v>
      </c>
      <c r="I612">
        <f t="shared" si="112"/>
        <v>-3.3529411764705883</v>
      </c>
      <c r="J612">
        <f t="shared" si="113"/>
        <v>0</v>
      </c>
      <c r="K612">
        <f t="shared" si="114"/>
        <v>1.0909252297006058</v>
      </c>
      <c r="L612">
        <f t="shared" si="115"/>
        <v>0</v>
      </c>
      <c r="M612" s="4">
        <f t="shared" si="116"/>
        <v>0</v>
      </c>
      <c r="N612">
        <f t="shared" si="117"/>
        <v>0</v>
      </c>
      <c r="O612" cm="1">
        <f t="array" ref="O612:Q612">_xlfn.XLOOKUP(C612, X$2:X$7, AG$2:AI$7)</f>
        <v>55.4</v>
      </c>
      <c r="P612">
        <v>-0.253</v>
      </c>
      <c r="Q612">
        <v>0</v>
      </c>
      <c r="R612">
        <f t="shared" si="118"/>
        <v>2.8109612452843271E-6</v>
      </c>
      <c r="S612" s="4">
        <f t="shared" si="119"/>
        <v>1</v>
      </c>
      <c r="T612">
        <f t="shared" si="120"/>
        <v>-1</v>
      </c>
      <c r="U612">
        <f t="shared" si="121"/>
        <v>-1</v>
      </c>
    </row>
    <row r="613" spans="1:21">
      <c r="A613" t="s">
        <v>704</v>
      </c>
      <c r="B613" t="s">
        <v>62</v>
      </c>
      <c r="C613" t="s">
        <v>729</v>
      </c>
      <c r="D613" s="1">
        <v>99</v>
      </c>
      <c r="E613" s="1">
        <f t="shared" si="110"/>
        <v>82.5</v>
      </c>
      <c r="F613">
        <v>8.8000000000000007</v>
      </c>
      <c r="G613" s="1">
        <v>120</v>
      </c>
      <c r="H613">
        <f t="shared" si="111"/>
        <v>-73.7</v>
      </c>
      <c r="I613">
        <f t="shared" si="112"/>
        <v>-4.3352941176470594</v>
      </c>
      <c r="J613">
        <f t="shared" si="113"/>
        <v>0</v>
      </c>
      <c r="K613">
        <f t="shared" si="114"/>
        <v>1.0909252297006058</v>
      </c>
      <c r="L613">
        <f t="shared" si="115"/>
        <v>0</v>
      </c>
      <c r="M613" s="4">
        <f t="shared" si="116"/>
        <v>0</v>
      </c>
      <c r="N613">
        <f t="shared" si="117"/>
        <v>0</v>
      </c>
      <c r="O613" cm="1">
        <f t="array" ref="O613:Q613">_xlfn.XLOOKUP(C613, X$2:X$7, AG$2:AI$7)</f>
        <v>55.4</v>
      </c>
      <c r="P613">
        <v>-0.253</v>
      </c>
      <c r="Q613">
        <v>0</v>
      </c>
      <c r="R613">
        <f t="shared" si="118"/>
        <v>4.2208522514863436E-12</v>
      </c>
      <c r="S613" s="4">
        <f t="shared" si="119"/>
        <v>1</v>
      </c>
      <c r="T613">
        <f t="shared" si="120"/>
        <v>-1</v>
      </c>
      <c r="U613">
        <f t="shared" si="121"/>
        <v>-1</v>
      </c>
    </row>
    <row r="614" spans="1:21">
      <c r="A614" t="s">
        <v>705</v>
      </c>
      <c r="B614" t="s">
        <v>62</v>
      </c>
      <c r="C614" t="s">
        <v>729</v>
      </c>
      <c r="D614" s="1">
        <v>99</v>
      </c>
      <c r="E614" s="1">
        <f t="shared" si="110"/>
        <v>82.5</v>
      </c>
      <c r="F614">
        <v>8.5</v>
      </c>
      <c r="G614" s="1">
        <v>121</v>
      </c>
      <c r="H614">
        <f t="shared" si="111"/>
        <v>-74</v>
      </c>
      <c r="I614">
        <f t="shared" si="112"/>
        <v>-4.3529411764705879</v>
      </c>
      <c r="J614">
        <f t="shared" si="113"/>
        <v>0</v>
      </c>
      <c r="K614">
        <f t="shared" si="114"/>
        <v>1.0909252297006058</v>
      </c>
      <c r="L614">
        <f t="shared" si="115"/>
        <v>0</v>
      </c>
      <c r="M614" s="4">
        <f t="shared" si="116"/>
        <v>0</v>
      </c>
      <c r="N614">
        <f t="shared" si="117"/>
        <v>0</v>
      </c>
      <c r="O614" cm="1">
        <f t="array" ref="O614:Q614">_xlfn.XLOOKUP(C614, X$2:X$7, AG$2:AI$7)</f>
        <v>55.4</v>
      </c>
      <c r="P614">
        <v>-0.253</v>
      </c>
      <c r="Q614">
        <v>0</v>
      </c>
      <c r="R614">
        <f t="shared" si="118"/>
        <v>3.2773562072025555E-12</v>
      </c>
      <c r="S614" s="4">
        <f t="shared" si="119"/>
        <v>1</v>
      </c>
      <c r="T614">
        <f t="shared" si="120"/>
        <v>-1</v>
      </c>
      <c r="U614">
        <f t="shared" si="121"/>
        <v>-1</v>
      </c>
    </row>
    <row r="615" spans="1:21">
      <c r="A615" t="s">
        <v>242</v>
      </c>
      <c r="B615" t="s">
        <v>62</v>
      </c>
      <c r="C615" t="s">
        <v>407</v>
      </c>
      <c r="D615" s="1">
        <v>116.9</v>
      </c>
      <c r="E615" s="1">
        <f t="shared" si="110"/>
        <v>93.4</v>
      </c>
      <c r="F615">
        <v>85.1</v>
      </c>
      <c r="G615" s="1">
        <v>83</v>
      </c>
      <c r="H615">
        <f t="shared" si="111"/>
        <v>-8.3000000000000114</v>
      </c>
      <c r="I615">
        <f t="shared" si="112"/>
        <v>-0.48823529411764771</v>
      </c>
      <c r="J615">
        <f t="shared" si="113"/>
        <v>0</v>
      </c>
      <c r="K615">
        <f t="shared" si="114"/>
        <v>0.94226603101549489</v>
      </c>
      <c r="L615">
        <f t="shared" si="115"/>
        <v>0</v>
      </c>
      <c r="M615" s="4">
        <f t="shared" si="116"/>
        <v>0</v>
      </c>
      <c r="N615">
        <f t="shared" si="117"/>
        <v>0</v>
      </c>
      <c r="O615" cm="1">
        <f t="array" ref="O615:Q615">_xlfn.XLOOKUP(C615, X$2:X$7, AG$2:AI$7)</f>
        <v>57.8</v>
      </c>
      <c r="P615">
        <v>-6.4299999999999996E-2</v>
      </c>
      <c r="Q615">
        <v>0</v>
      </c>
      <c r="R615">
        <f t="shared" si="118"/>
        <v>0.32449833591009802</v>
      </c>
      <c r="S615" s="4">
        <f t="shared" si="119"/>
        <v>1</v>
      </c>
      <c r="T615">
        <f t="shared" si="120"/>
        <v>-1</v>
      </c>
      <c r="U615">
        <f t="shared" si="121"/>
        <v>-1</v>
      </c>
    </row>
    <row r="616" spans="1:21">
      <c r="A616" t="s">
        <v>244</v>
      </c>
      <c r="B616" t="s">
        <v>62</v>
      </c>
      <c r="C616" t="s">
        <v>407</v>
      </c>
      <c r="D616" s="1">
        <v>116.9</v>
      </c>
      <c r="E616" s="1">
        <f t="shared" si="110"/>
        <v>93.4</v>
      </c>
      <c r="F616">
        <v>82.9</v>
      </c>
      <c r="G616" s="1">
        <v>85</v>
      </c>
      <c r="H616">
        <f t="shared" si="111"/>
        <v>-10.5</v>
      </c>
      <c r="I616">
        <f t="shared" si="112"/>
        <v>-0.61764705882352944</v>
      </c>
      <c r="J616">
        <f t="shared" si="113"/>
        <v>0</v>
      </c>
      <c r="K616">
        <f t="shared" si="114"/>
        <v>0.94226603101549489</v>
      </c>
      <c r="L616">
        <f t="shared" si="115"/>
        <v>0</v>
      </c>
      <c r="M616" s="4">
        <f t="shared" si="116"/>
        <v>0</v>
      </c>
      <c r="N616">
        <f t="shared" si="117"/>
        <v>0</v>
      </c>
      <c r="O616" cm="1">
        <f t="array" ref="O616:Q616">_xlfn.XLOOKUP(C616, X$2:X$7, AG$2:AI$7)</f>
        <v>57.8</v>
      </c>
      <c r="P616">
        <v>-6.4299999999999996E-2</v>
      </c>
      <c r="Q616">
        <v>0</v>
      </c>
      <c r="R616">
        <f t="shared" si="118"/>
        <v>0.28533970218458271</v>
      </c>
      <c r="S616" s="4">
        <f t="shared" si="119"/>
        <v>1</v>
      </c>
      <c r="T616">
        <f t="shared" si="120"/>
        <v>-1</v>
      </c>
      <c r="U616">
        <f t="shared" si="121"/>
        <v>-1</v>
      </c>
    </row>
    <row r="617" spans="1:21">
      <c r="A617" t="s">
        <v>250</v>
      </c>
      <c r="B617" t="s">
        <v>62</v>
      </c>
      <c r="C617" t="s">
        <v>407</v>
      </c>
      <c r="D617" s="1">
        <v>116.9</v>
      </c>
      <c r="E617" s="1">
        <f t="shared" si="110"/>
        <v>93.4</v>
      </c>
      <c r="F617">
        <v>70.3</v>
      </c>
      <c r="G617" s="1">
        <v>91</v>
      </c>
      <c r="H617">
        <f t="shared" si="111"/>
        <v>-23.100000000000009</v>
      </c>
      <c r="I617">
        <f t="shared" si="112"/>
        <v>-1.3588235294117652</v>
      </c>
      <c r="J617">
        <f t="shared" si="113"/>
        <v>0</v>
      </c>
      <c r="K617">
        <f t="shared" si="114"/>
        <v>0.94226603101549489</v>
      </c>
      <c r="L617">
        <f t="shared" si="115"/>
        <v>0</v>
      </c>
      <c r="M617" s="4">
        <f t="shared" si="116"/>
        <v>0</v>
      </c>
      <c r="N617">
        <f t="shared" si="117"/>
        <v>0</v>
      </c>
      <c r="O617" cm="1">
        <f t="array" ref="O617:Q617">_xlfn.XLOOKUP(C617, X$2:X$7, AG$2:AI$7)</f>
        <v>57.8</v>
      </c>
      <c r="P617">
        <v>-6.4299999999999996E-2</v>
      </c>
      <c r="Q617">
        <v>0</v>
      </c>
      <c r="R617">
        <f t="shared" si="118"/>
        <v>0.19400431633491938</v>
      </c>
      <c r="S617" s="4">
        <f t="shared" si="119"/>
        <v>1</v>
      </c>
      <c r="T617">
        <f t="shared" si="120"/>
        <v>-1</v>
      </c>
      <c r="U617">
        <f t="shared" si="121"/>
        <v>-1</v>
      </c>
    </row>
    <row r="618" spans="1:21">
      <c r="A618" t="s">
        <v>254</v>
      </c>
      <c r="B618" t="s">
        <v>62</v>
      </c>
      <c r="C618" t="s">
        <v>407</v>
      </c>
      <c r="D618" s="1">
        <v>116.9</v>
      </c>
      <c r="E618" s="1">
        <f t="shared" si="110"/>
        <v>93.4</v>
      </c>
      <c r="F618">
        <v>67.7</v>
      </c>
      <c r="G618" s="1">
        <v>95</v>
      </c>
      <c r="H618">
        <f t="shared" si="111"/>
        <v>-25.700000000000003</v>
      </c>
      <c r="I618">
        <f t="shared" si="112"/>
        <v>-1.5117647058823531</v>
      </c>
      <c r="J618">
        <f t="shared" si="113"/>
        <v>0</v>
      </c>
      <c r="K618">
        <f t="shared" si="114"/>
        <v>0.94226603101549489</v>
      </c>
      <c r="L618">
        <f t="shared" si="115"/>
        <v>0</v>
      </c>
      <c r="M618" s="4">
        <f t="shared" si="116"/>
        <v>0</v>
      </c>
      <c r="N618">
        <f t="shared" si="117"/>
        <v>0</v>
      </c>
      <c r="O618" cm="1">
        <f t="array" ref="O618:Q618">_xlfn.XLOOKUP(C618, X$2:X$7, AG$2:AI$7)</f>
        <v>57.8</v>
      </c>
      <c r="P618">
        <v>-6.4299999999999996E-2</v>
      </c>
      <c r="Q618">
        <v>0</v>
      </c>
      <c r="R618">
        <f t="shared" si="118"/>
        <v>0.15000676723294179</v>
      </c>
      <c r="S618" s="4">
        <f t="shared" si="119"/>
        <v>1</v>
      </c>
      <c r="T618">
        <f t="shared" si="120"/>
        <v>-1</v>
      </c>
      <c r="U618">
        <f t="shared" si="121"/>
        <v>-1</v>
      </c>
    </row>
    <row r="619" spans="1:21">
      <c r="A619" t="s">
        <v>324</v>
      </c>
      <c r="B619" t="s">
        <v>62</v>
      </c>
      <c r="C619" t="s">
        <v>407</v>
      </c>
      <c r="D619" s="1">
        <v>116.9</v>
      </c>
      <c r="E619" s="1">
        <f t="shared" si="110"/>
        <v>93.4</v>
      </c>
      <c r="F619">
        <v>16</v>
      </c>
      <c r="G619" s="1">
        <v>165</v>
      </c>
      <c r="H619">
        <f t="shared" si="111"/>
        <v>-77.400000000000006</v>
      </c>
      <c r="I619">
        <f t="shared" si="112"/>
        <v>-4.5529411764705889</v>
      </c>
      <c r="J619">
        <f t="shared" si="113"/>
        <v>0</v>
      </c>
      <c r="K619">
        <f t="shared" si="114"/>
        <v>0.94226603101549489</v>
      </c>
      <c r="L619">
        <f t="shared" si="115"/>
        <v>0</v>
      </c>
      <c r="M619" s="4">
        <f t="shared" si="116"/>
        <v>0</v>
      </c>
      <c r="N619">
        <f t="shared" si="117"/>
        <v>0</v>
      </c>
      <c r="O619" cm="1">
        <f t="array" ref="O619:Q619">_xlfn.XLOOKUP(C619, X$2:X$7, AG$2:AI$7)</f>
        <v>57.8</v>
      </c>
      <c r="P619">
        <v>-6.4299999999999996E-2</v>
      </c>
      <c r="Q619">
        <v>0</v>
      </c>
      <c r="R619">
        <f t="shared" si="118"/>
        <v>1.6647590661804279E-3</v>
      </c>
      <c r="S619" s="4">
        <f t="shared" si="119"/>
        <v>1</v>
      </c>
      <c r="T619">
        <f t="shared" si="120"/>
        <v>-1</v>
      </c>
      <c r="U619">
        <f t="shared" si="121"/>
        <v>-1</v>
      </c>
    </row>
    <row r="620" spans="1:21">
      <c r="A620" t="s">
        <v>328</v>
      </c>
      <c r="B620" t="s">
        <v>62</v>
      </c>
      <c r="C620" t="s">
        <v>407</v>
      </c>
      <c r="D620" s="1">
        <v>116.9</v>
      </c>
      <c r="E620" s="1">
        <f t="shared" si="110"/>
        <v>93.4</v>
      </c>
      <c r="F620">
        <v>14</v>
      </c>
      <c r="G620" s="1">
        <v>169</v>
      </c>
      <c r="H620">
        <f t="shared" si="111"/>
        <v>-79.400000000000006</v>
      </c>
      <c r="I620">
        <f t="shared" si="112"/>
        <v>-4.6705882352941179</v>
      </c>
      <c r="J620">
        <f t="shared" si="113"/>
        <v>0</v>
      </c>
      <c r="K620">
        <f t="shared" si="114"/>
        <v>0.94226603101549489</v>
      </c>
      <c r="L620">
        <f t="shared" si="115"/>
        <v>0</v>
      </c>
      <c r="M620" s="4">
        <f t="shared" si="116"/>
        <v>0</v>
      </c>
      <c r="N620">
        <f t="shared" si="117"/>
        <v>0</v>
      </c>
      <c r="O620" cm="1">
        <f t="array" ref="O620:Q620">_xlfn.XLOOKUP(C620, X$2:X$7, AG$2:AI$7)</f>
        <v>57.8</v>
      </c>
      <c r="P620">
        <v>-6.4299999999999996E-2</v>
      </c>
      <c r="Q620">
        <v>0</v>
      </c>
      <c r="R620">
        <f t="shared" si="118"/>
        <v>1.2872142767604395E-3</v>
      </c>
      <c r="S620" s="4">
        <f t="shared" si="119"/>
        <v>1</v>
      </c>
      <c r="T620">
        <f t="shared" si="120"/>
        <v>-1</v>
      </c>
      <c r="U620">
        <f t="shared" si="121"/>
        <v>-1</v>
      </c>
    </row>
    <row r="621" spans="1:21">
      <c r="A621" t="s">
        <v>381</v>
      </c>
      <c r="B621" t="s">
        <v>62</v>
      </c>
      <c r="C621" t="s">
        <v>407</v>
      </c>
      <c r="D621" s="1">
        <v>116.9</v>
      </c>
      <c r="E621" s="1">
        <f t="shared" si="110"/>
        <v>93.4</v>
      </c>
      <c r="F621">
        <v>6.4</v>
      </c>
      <c r="G621" s="1">
        <v>222</v>
      </c>
      <c r="H621">
        <f t="shared" si="111"/>
        <v>-87</v>
      </c>
      <c r="I621">
        <f t="shared" si="112"/>
        <v>-5.117647058823529</v>
      </c>
      <c r="J621">
        <f t="shared" si="113"/>
        <v>0</v>
      </c>
      <c r="K621">
        <f t="shared" si="114"/>
        <v>0.94226603101549489</v>
      </c>
      <c r="L621">
        <f t="shared" si="115"/>
        <v>0</v>
      </c>
      <c r="M621" s="4">
        <f t="shared" si="116"/>
        <v>0</v>
      </c>
      <c r="N621">
        <f t="shared" si="117"/>
        <v>0</v>
      </c>
      <c r="O621" cm="1">
        <f t="array" ref="O621:Q621">_xlfn.XLOOKUP(C621, X$2:X$7, AG$2:AI$7)</f>
        <v>57.8</v>
      </c>
      <c r="P621">
        <v>-6.4299999999999996E-2</v>
      </c>
      <c r="Q621">
        <v>0</v>
      </c>
      <c r="R621">
        <f t="shared" si="118"/>
        <v>4.2620514012086301E-5</v>
      </c>
      <c r="S621" s="4">
        <f t="shared" si="119"/>
        <v>1</v>
      </c>
      <c r="T621">
        <f t="shared" si="120"/>
        <v>-1</v>
      </c>
      <c r="U621">
        <f t="shared" si="121"/>
        <v>-1</v>
      </c>
    </row>
    <row r="622" spans="1:21">
      <c r="A622" t="s">
        <v>401</v>
      </c>
      <c r="B622" t="s">
        <v>62</v>
      </c>
      <c r="C622" t="s">
        <v>407</v>
      </c>
      <c r="D622" s="1">
        <v>116.9</v>
      </c>
      <c r="E622" s="1">
        <f t="shared" si="110"/>
        <v>93.4</v>
      </c>
      <c r="F622">
        <v>0</v>
      </c>
      <c r="G622" s="1">
        <v>242</v>
      </c>
      <c r="H622">
        <f t="shared" si="111"/>
        <v>-93.4</v>
      </c>
      <c r="I622">
        <f t="shared" si="112"/>
        <v>-5.4941176470588236</v>
      </c>
      <c r="J622">
        <f t="shared" si="113"/>
        <v>0</v>
      </c>
      <c r="K622">
        <f t="shared" si="114"/>
        <v>0.94226603101549489</v>
      </c>
      <c r="L622">
        <f t="shared" si="115"/>
        <v>0</v>
      </c>
      <c r="M622" s="4">
        <f t="shared" si="116"/>
        <v>0</v>
      </c>
      <c r="N622">
        <f t="shared" si="117"/>
        <v>0</v>
      </c>
      <c r="O622" cm="1">
        <f t="array" ref="O622:Q622">_xlfn.XLOOKUP(C622, X$2:X$7, AG$2:AI$7)</f>
        <v>57.8</v>
      </c>
      <c r="P622">
        <v>-6.4299999999999996E-2</v>
      </c>
      <c r="Q622">
        <v>0</v>
      </c>
      <c r="R622">
        <f t="shared" si="118"/>
        <v>1.1779204979592606E-5</v>
      </c>
      <c r="S622" s="4">
        <f t="shared" si="119"/>
        <v>1</v>
      </c>
      <c r="T622">
        <f t="shared" si="120"/>
        <v>-1</v>
      </c>
      <c r="U622">
        <f t="shared" si="121"/>
        <v>-1</v>
      </c>
    </row>
    <row r="623" spans="1:21">
      <c r="A623" t="s">
        <v>131</v>
      </c>
      <c r="B623" t="s">
        <v>66</v>
      </c>
      <c r="C623" t="s">
        <v>159</v>
      </c>
      <c r="D623" s="1">
        <v>228</v>
      </c>
      <c r="E623" s="1">
        <f t="shared" si="110"/>
        <v>190</v>
      </c>
      <c r="F623">
        <v>18.399999999999999</v>
      </c>
      <c r="G623" s="1">
        <v>61</v>
      </c>
      <c r="H623">
        <f t="shared" si="111"/>
        <v>-171.6</v>
      </c>
      <c r="I623">
        <f t="shared" si="112"/>
        <v>-10.094117647058823</v>
      </c>
      <c r="J623">
        <f t="shared" si="113"/>
        <v>0</v>
      </c>
      <c r="K623">
        <f t="shared" si="114"/>
        <v>0.57566309754037293</v>
      </c>
      <c r="L623">
        <f t="shared" si="115"/>
        <v>0</v>
      </c>
      <c r="M623" s="4">
        <f t="shared" si="116"/>
        <v>0</v>
      </c>
      <c r="N623">
        <f t="shared" si="117"/>
        <v>0</v>
      </c>
      <c r="O623" cm="1">
        <f t="array" ref="O623:Q623">_xlfn.XLOOKUP(C623, X$2:X$7, AG$2:AI$7)</f>
        <v>56.4</v>
      </c>
      <c r="P623">
        <v>-0.16300000000000001</v>
      </c>
      <c r="Q623">
        <v>0</v>
      </c>
      <c r="R623">
        <f t="shared" si="118"/>
        <v>3.1634423653061953E-3</v>
      </c>
      <c r="S623" s="4">
        <f t="shared" si="119"/>
        <v>1</v>
      </c>
      <c r="T623">
        <f t="shared" si="120"/>
        <v>-1</v>
      </c>
      <c r="U623">
        <f t="shared" si="121"/>
        <v>-1</v>
      </c>
    </row>
    <row r="624" spans="1:21">
      <c r="A624" t="s">
        <v>487</v>
      </c>
      <c r="B624" t="s">
        <v>66</v>
      </c>
      <c r="C624" t="s">
        <v>586</v>
      </c>
      <c r="D624" s="1">
        <v>107.9</v>
      </c>
      <c r="E624" s="1">
        <f t="shared" si="110"/>
        <v>73</v>
      </c>
      <c r="F624">
        <v>40.6</v>
      </c>
      <c r="G624" s="1">
        <v>80</v>
      </c>
      <c r="H624">
        <f t="shared" si="111"/>
        <v>-32.4</v>
      </c>
      <c r="I624">
        <f t="shared" si="112"/>
        <v>-1.9058823529411764</v>
      </c>
      <c r="J624">
        <f t="shared" si="113"/>
        <v>0</v>
      </c>
      <c r="K624">
        <f t="shared" si="114"/>
        <v>1.0011070456397422</v>
      </c>
      <c r="L624">
        <f t="shared" si="115"/>
        <v>0</v>
      </c>
      <c r="M624" s="4">
        <f t="shared" si="116"/>
        <v>0</v>
      </c>
      <c r="N624">
        <f t="shared" si="117"/>
        <v>0</v>
      </c>
      <c r="O624" cm="1">
        <f t="array" ref="O624:Q624">_xlfn.XLOOKUP(C624, X$2:X$7, AG$2:AI$7)</f>
        <v>5.0900000000000001E-2</v>
      </c>
      <c r="P624">
        <v>-3.9</v>
      </c>
      <c r="Q624">
        <v>73.900000000000006</v>
      </c>
      <c r="R624">
        <f t="shared" si="118"/>
        <v>102.29922000000001</v>
      </c>
      <c r="S624" s="4">
        <f t="shared" si="119"/>
        <v>1</v>
      </c>
      <c r="T624">
        <f t="shared" si="120"/>
        <v>-1</v>
      </c>
      <c r="U624">
        <f t="shared" si="121"/>
        <v>-1</v>
      </c>
    </row>
    <row r="625" spans="1:21">
      <c r="A625" t="s">
        <v>512</v>
      </c>
      <c r="B625" t="s">
        <v>66</v>
      </c>
      <c r="C625" t="s">
        <v>586</v>
      </c>
      <c r="D625" s="1">
        <v>107.9</v>
      </c>
      <c r="E625" s="1">
        <f t="shared" si="110"/>
        <v>73</v>
      </c>
      <c r="F625">
        <v>24</v>
      </c>
      <c r="G625" s="1">
        <v>105</v>
      </c>
      <c r="H625">
        <f t="shared" si="111"/>
        <v>-49</v>
      </c>
      <c r="I625">
        <f t="shared" si="112"/>
        <v>-2.8823529411764706</v>
      </c>
      <c r="J625">
        <f t="shared" si="113"/>
        <v>0</v>
      </c>
      <c r="K625">
        <f t="shared" si="114"/>
        <v>1.0011070456397422</v>
      </c>
      <c r="L625">
        <f t="shared" si="115"/>
        <v>0</v>
      </c>
      <c r="M625" s="4">
        <f t="shared" si="116"/>
        <v>0</v>
      </c>
      <c r="N625">
        <f t="shared" si="117"/>
        <v>0</v>
      </c>
      <c r="O625" cm="1">
        <f t="array" ref="O625:Q625">_xlfn.XLOOKUP(C625, X$2:X$7, AG$2:AI$7)</f>
        <v>5.0900000000000001E-2</v>
      </c>
      <c r="P625">
        <v>-3.9</v>
      </c>
      <c r="Q625">
        <v>73.900000000000006</v>
      </c>
      <c r="R625">
        <f t="shared" si="118"/>
        <v>263.24310750000001</v>
      </c>
      <c r="S625" s="4">
        <f t="shared" si="119"/>
        <v>1</v>
      </c>
      <c r="T625">
        <f t="shared" si="120"/>
        <v>-1</v>
      </c>
      <c r="U625">
        <f t="shared" si="121"/>
        <v>-1</v>
      </c>
    </row>
    <row r="626" spans="1:21">
      <c r="A626" t="s">
        <v>574</v>
      </c>
      <c r="B626" t="s">
        <v>66</v>
      </c>
      <c r="C626" t="s">
        <v>586</v>
      </c>
      <c r="D626" s="1">
        <v>107.9</v>
      </c>
      <c r="E626" s="1">
        <f t="shared" si="110"/>
        <v>73</v>
      </c>
      <c r="F626">
        <v>3.8</v>
      </c>
      <c r="G626" s="1">
        <v>169</v>
      </c>
      <c r="H626">
        <f t="shared" si="111"/>
        <v>-69.2</v>
      </c>
      <c r="I626">
        <f t="shared" si="112"/>
        <v>-4.0705882352941174</v>
      </c>
      <c r="J626">
        <f t="shared" si="113"/>
        <v>0</v>
      </c>
      <c r="K626">
        <f t="shared" si="114"/>
        <v>1.0011070456397422</v>
      </c>
      <c r="L626">
        <f t="shared" si="115"/>
        <v>0</v>
      </c>
      <c r="M626" s="4">
        <f t="shared" si="116"/>
        <v>0</v>
      </c>
      <c r="N626">
        <f t="shared" si="117"/>
        <v>0</v>
      </c>
      <c r="O626" cm="1">
        <f t="array" ref="O626:Q626">_xlfn.XLOOKUP(C626, X$2:X$7, AG$2:AI$7)</f>
        <v>5.0900000000000001E-2</v>
      </c>
      <c r="P626">
        <v>-3.9</v>
      </c>
      <c r="Q626">
        <v>73.900000000000006</v>
      </c>
      <c r="R626">
        <f t="shared" si="118"/>
        <v>1013.6035683000001</v>
      </c>
      <c r="S626" s="4">
        <f t="shared" si="119"/>
        <v>1</v>
      </c>
      <c r="T626">
        <f t="shared" si="120"/>
        <v>-1</v>
      </c>
      <c r="U626">
        <f t="shared" si="121"/>
        <v>-1</v>
      </c>
    </row>
    <row r="627" spans="1:21">
      <c r="A627" t="s">
        <v>581</v>
      </c>
      <c r="B627" t="s">
        <v>66</v>
      </c>
      <c r="C627" t="s">
        <v>586</v>
      </c>
      <c r="D627" s="1">
        <v>107.9</v>
      </c>
      <c r="E627" s="1">
        <f t="shared" si="110"/>
        <v>73</v>
      </c>
      <c r="F627">
        <v>0</v>
      </c>
      <c r="G627" s="1">
        <v>176</v>
      </c>
      <c r="H627">
        <f t="shared" si="111"/>
        <v>-73</v>
      </c>
      <c r="I627">
        <f t="shared" si="112"/>
        <v>-4.2941176470588234</v>
      </c>
      <c r="J627">
        <f t="shared" si="113"/>
        <v>0</v>
      </c>
      <c r="K627">
        <f t="shared" si="114"/>
        <v>1.0011070456397422</v>
      </c>
      <c r="L627">
        <f t="shared" si="115"/>
        <v>0</v>
      </c>
      <c r="M627" s="4">
        <f t="shared" si="116"/>
        <v>0</v>
      </c>
      <c r="N627">
        <f t="shared" si="117"/>
        <v>0</v>
      </c>
      <c r="O627" cm="1">
        <f t="array" ref="O627:Q627">_xlfn.XLOOKUP(C627, X$2:X$7, AG$2:AI$7)</f>
        <v>5.0900000000000001E-2</v>
      </c>
      <c r="P627">
        <v>-3.9</v>
      </c>
      <c r="Q627">
        <v>73.900000000000006</v>
      </c>
      <c r="R627">
        <f t="shared" si="118"/>
        <v>1125.1961928000001</v>
      </c>
      <c r="S627" s="4">
        <f t="shared" si="119"/>
        <v>1</v>
      </c>
      <c r="T627">
        <f t="shared" si="120"/>
        <v>-1</v>
      </c>
      <c r="U627">
        <f t="shared" si="121"/>
        <v>-1</v>
      </c>
    </row>
    <row r="628" spans="1:21">
      <c r="A628" t="s">
        <v>676</v>
      </c>
      <c r="B628" t="s">
        <v>66</v>
      </c>
      <c r="C628" t="s">
        <v>729</v>
      </c>
      <c r="D628" s="1">
        <v>99</v>
      </c>
      <c r="E628" s="1">
        <f t="shared" si="110"/>
        <v>82.5</v>
      </c>
      <c r="F628">
        <v>17.100000000000001</v>
      </c>
      <c r="G628" s="1">
        <v>90</v>
      </c>
      <c r="H628">
        <f t="shared" si="111"/>
        <v>-65.400000000000006</v>
      </c>
      <c r="I628">
        <f t="shared" si="112"/>
        <v>-3.8470588235294123</v>
      </c>
      <c r="J628">
        <f t="shared" si="113"/>
        <v>0</v>
      </c>
      <c r="K628">
        <f t="shared" si="114"/>
        <v>1.0909252297006058</v>
      </c>
      <c r="L628">
        <f t="shared" si="115"/>
        <v>0</v>
      </c>
      <c r="M628" s="4">
        <f t="shared" si="116"/>
        <v>0</v>
      </c>
      <c r="N628">
        <f t="shared" si="117"/>
        <v>0</v>
      </c>
      <c r="O628" cm="1">
        <f t="array" ref="O628:Q628">_xlfn.XLOOKUP(C628, X$2:X$7, AG$2:AI$7)</f>
        <v>55.4</v>
      </c>
      <c r="P628">
        <v>-0.253</v>
      </c>
      <c r="Q628">
        <v>0</v>
      </c>
      <c r="R628">
        <f t="shared" si="118"/>
        <v>8.3501690486410932E-9</v>
      </c>
      <c r="S628" s="4">
        <f t="shared" si="119"/>
        <v>1</v>
      </c>
      <c r="T628">
        <f t="shared" si="120"/>
        <v>-1</v>
      </c>
      <c r="U628">
        <f t="shared" si="121"/>
        <v>-1</v>
      </c>
    </row>
    <row r="629" spans="1:21">
      <c r="A629" t="s">
        <v>681</v>
      </c>
      <c r="B629" t="s">
        <v>66</v>
      </c>
      <c r="C629" t="s">
        <v>729</v>
      </c>
      <c r="D629" s="1">
        <v>99</v>
      </c>
      <c r="E629" s="1">
        <f t="shared" si="110"/>
        <v>82.5</v>
      </c>
      <c r="F629">
        <v>15.4</v>
      </c>
      <c r="G629" s="1">
        <v>95</v>
      </c>
      <c r="H629">
        <f t="shared" si="111"/>
        <v>-67.099999999999994</v>
      </c>
      <c r="I629">
        <f t="shared" si="112"/>
        <v>-3.9470588235294115</v>
      </c>
      <c r="J629">
        <f t="shared" si="113"/>
        <v>0</v>
      </c>
      <c r="K629">
        <f t="shared" si="114"/>
        <v>1.0909252297006058</v>
      </c>
      <c r="L629">
        <f t="shared" si="115"/>
        <v>0</v>
      </c>
      <c r="M629" s="4">
        <f t="shared" si="116"/>
        <v>0</v>
      </c>
      <c r="N629">
        <f t="shared" si="117"/>
        <v>0</v>
      </c>
      <c r="O629" cm="1">
        <f t="array" ref="O629:Q629">_xlfn.XLOOKUP(C629, X$2:X$7, AG$2:AI$7)</f>
        <v>55.4</v>
      </c>
      <c r="P629">
        <v>-0.253</v>
      </c>
      <c r="Q629">
        <v>0</v>
      </c>
      <c r="R629">
        <f t="shared" si="118"/>
        <v>2.3567458349428442E-9</v>
      </c>
      <c r="S629" s="4">
        <f t="shared" si="119"/>
        <v>1</v>
      </c>
      <c r="T629">
        <f t="shared" si="120"/>
        <v>-1</v>
      </c>
      <c r="U629">
        <f t="shared" si="121"/>
        <v>-1</v>
      </c>
    </row>
    <row r="630" spans="1:21">
      <c r="A630" t="s">
        <v>256</v>
      </c>
      <c r="B630" t="s">
        <v>66</v>
      </c>
      <c r="C630" t="s">
        <v>407</v>
      </c>
      <c r="D630" s="1">
        <v>116.9</v>
      </c>
      <c r="E630" s="1">
        <f t="shared" si="110"/>
        <v>93.4</v>
      </c>
      <c r="F630">
        <v>64.400000000000006</v>
      </c>
      <c r="G630" s="1">
        <v>97</v>
      </c>
      <c r="H630">
        <f t="shared" si="111"/>
        <v>-29</v>
      </c>
      <c r="I630">
        <f t="shared" si="112"/>
        <v>-1.7058823529411764</v>
      </c>
      <c r="J630">
        <f t="shared" si="113"/>
        <v>0</v>
      </c>
      <c r="K630">
        <f t="shared" si="114"/>
        <v>0.94226603101549489</v>
      </c>
      <c r="L630">
        <f t="shared" si="115"/>
        <v>0</v>
      </c>
      <c r="M630" s="4">
        <f t="shared" si="116"/>
        <v>0</v>
      </c>
      <c r="N630">
        <f t="shared" si="117"/>
        <v>0</v>
      </c>
      <c r="O630" cm="1">
        <f t="array" ref="O630:Q630">_xlfn.XLOOKUP(C630, X$2:X$7, AG$2:AI$7)</f>
        <v>57.8</v>
      </c>
      <c r="P630">
        <v>-6.4299999999999996E-2</v>
      </c>
      <c r="Q630">
        <v>0</v>
      </c>
      <c r="R630">
        <f t="shared" si="118"/>
        <v>0.13190479442020339</v>
      </c>
      <c r="S630" s="4">
        <f t="shared" si="119"/>
        <v>1</v>
      </c>
      <c r="T630">
        <f t="shared" si="120"/>
        <v>-1</v>
      </c>
      <c r="U630">
        <f t="shared" si="121"/>
        <v>-1</v>
      </c>
    </row>
    <row r="631" spans="1:21">
      <c r="A631" t="s">
        <v>317</v>
      </c>
      <c r="B631" t="s">
        <v>66</v>
      </c>
      <c r="C631" t="s">
        <v>407</v>
      </c>
      <c r="D631" s="1">
        <v>116.9</v>
      </c>
      <c r="E631" s="1">
        <f t="shared" si="110"/>
        <v>93.4</v>
      </c>
      <c r="F631">
        <v>18.2</v>
      </c>
      <c r="G631" s="1">
        <v>158</v>
      </c>
      <c r="H631">
        <f t="shared" si="111"/>
        <v>-75.2</v>
      </c>
      <c r="I631">
        <f t="shared" si="112"/>
        <v>-4.4235294117647062</v>
      </c>
      <c r="J631">
        <f t="shared" si="113"/>
        <v>0</v>
      </c>
      <c r="K631">
        <f t="shared" si="114"/>
        <v>0.94226603101549489</v>
      </c>
      <c r="L631">
        <f t="shared" si="115"/>
        <v>0</v>
      </c>
      <c r="M631" s="4">
        <f t="shared" si="116"/>
        <v>0</v>
      </c>
      <c r="N631">
        <f t="shared" si="117"/>
        <v>0</v>
      </c>
      <c r="O631" cm="1">
        <f t="array" ref="O631:Q631">_xlfn.XLOOKUP(C631, X$2:X$7, AG$2:AI$7)</f>
        <v>57.8</v>
      </c>
      <c r="P631">
        <v>-6.4299999999999996E-2</v>
      </c>
      <c r="Q631">
        <v>0</v>
      </c>
      <c r="R631">
        <f t="shared" si="118"/>
        <v>2.6111230286436811E-3</v>
      </c>
      <c r="S631" s="4">
        <f t="shared" si="119"/>
        <v>1</v>
      </c>
      <c r="T631">
        <f t="shared" si="120"/>
        <v>-1</v>
      </c>
      <c r="U631">
        <f t="shared" si="121"/>
        <v>-1</v>
      </c>
    </row>
    <row r="632" spans="1:21">
      <c r="A632" t="s">
        <v>367</v>
      </c>
      <c r="B632" t="s">
        <v>66</v>
      </c>
      <c r="C632" t="s">
        <v>407</v>
      </c>
      <c r="D632" s="1">
        <v>116.9</v>
      </c>
      <c r="E632" s="1">
        <f t="shared" si="110"/>
        <v>93.4</v>
      </c>
      <c r="F632">
        <v>7.9</v>
      </c>
      <c r="G632" s="1">
        <v>208</v>
      </c>
      <c r="H632">
        <f t="shared" si="111"/>
        <v>-85.5</v>
      </c>
      <c r="I632">
        <f t="shared" si="112"/>
        <v>-5.0294117647058822</v>
      </c>
      <c r="J632">
        <f t="shared" si="113"/>
        <v>0</v>
      </c>
      <c r="K632">
        <f t="shared" si="114"/>
        <v>0.94226603101549489</v>
      </c>
      <c r="L632">
        <f t="shared" si="115"/>
        <v>0</v>
      </c>
      <c r="M632" s="4">
        <f t="shared" si="116"/>
        <v>0</v>
      </c>
      <c r="N632">
        <f t="shared" si="117"/>
        <v>0</v>
      </c>
      <c r="O632" cm="1">
        <f t="array" ref="O632:Q632">_xlfn.XLOOKUP(C632, X$2:X$7, AG$2:AI$7)</f>
        <v>57.8</v>
      </c>
      <c r="P632">
        <v>-6.4299999999999996E-2</v>
      </c>
      <c r="Q632">
        <v>0</v>
      </c>
      <c r="R632">
        <f t="shared" si="118"/>
        <v>1.0485051686973923E-4</v>
      </c>
      <c r="S632" s="4">
        <f t="shared" si="119"/>
        <v>1</v>
      </c>
      <c r="T632">
        <f t="shared" si="120"/>
        <v>-1</v>
      </c>
      <c r="U632">
        <f t="shared" si="121"/>
        <v>-1</v>
      </c>
    </row>
    <row r="633" spans="1:21">
      <c r="A633" t="s">
        <v>118</v>
      </c>
      <c r="B633" t="s">
        <v>44</v>
      </c>
      <c r="C633" t="s">
        <v>159</v>
      </c>
      <c r="D633" s="1">
        <v>228</v>
      </c>
      <c r="E633" s="1">
        <f t="shared" si="110"/>
        <v>190</v>
      </c>
      <c r="F633">
        <v>23.8</v>
      </c>
      <c r="G633" s="1">
        <v>48</v>
      </c>
      <c r="H633">
        <f t="shared" si="111"/>
        <v>-166.2</v>
      </c>
      <c r="I633">
        <f t="shared" si="112"/>
        <v>-9.7764705882352931</v>
      </c>
      <c r="J633">
        <f t="shared" si="113"/>
        <v>0</v>
      </c>
      <c r="K633">
        <f t="shared" si="114"/>
        <v>0.57566309754037293</v>
      </c>
      <c r="L633">
        <f t="shared" si="115"/>
        <v>0</v>
      </c>
      <c r="M633" s="4">
        <f t="shared" si="116"/>
        <v>0</v>
      </c>
      <c r="N633">
        <f t="shared" si="117"/>
        <v>0</v>
      </c>
      <c r="O633" cm="1">
        <f t="array" ref="O633:Q633">_xlfn.XLOOKUP(C633, X$2:X$7, AG$2:AI$7)</f>
        <v>56.4</v>
      </c>
      <c r="P633">
        <v>-0.16300000000000001</v>
      </c>
      <c r="Q633">
        <v>0</v>
      </c>
      <c r="R633">
        <f t="shared" si="118"/>
        <v>2.6328731379607343E-2</v>
      </c>
      <c r="S633" s="4">
        <f t="shared" si="119"/>
        <v>1</v>
      </c>
      <c r="T633">
        <f t="shared" si="120"/>
        <v>-1</v>
      </c>
      <c r="U633">
        <f t="shared" si="121"/>
        <v>-1</v>
      </c>
    </row>
    <row r="634" spans="1:21">
      <c r="A634" t="s">
        <v>146</v>
      </c>
      <c r="B634" t="s">
        <v>44</v>
      </c>
      <c r="C634" t="s">
        <v>159</v>
      </c>
      <c r="D634" s="1">
        <v>228</v>
      </c>
      <c r="E634" s="1">
        <f t="shared" si="110"/>
        <v>190</v>
      </c>
      <c r="F634">
        <v>9.4</v>
      </c>
      <c r="G634" s="1">
        <v>76</v>
      </c>
      <c r="H634">
        <f t="shared" si="111"/>
        <v>-180.6</v>
      </c>
      <c r="I634">
        <f t="shared" si="112"/>
        <v>-10.623529411764705</v>
      </c>
      <c r="J634">
        <f t="shared" si="113"/>
        <v>0</v>
      </c>
      <c r="K634">
        <f t="shared" si="114"/>
        <v>0.57566309754037293</v>
      </c>
      <c r="L634">
        <f t="shared" si="115"/>
        <v>0</v>
      </c>
      <c r="M634" s="4">
        <f t="shared" si="116"/>
        <v>0</v>
      </c>
      <c r="N634">
        <f t="shared" si="117"/>
        <v>0</v>
      </c>
      <c r="O634" cm="1">
        <f t="array" ref="O634:Q634">_xlfn.XLOOKUP(C634, X$2:X$7, AG$2:AI$7)</f>
        <v>56.4</v>
      </c>
      <c r="P634">
        <v>-0.16300000000000001</v>
      </c>
      <c r="Q634">
        <v>0</v>
      </c>
      <c r="R634">
        <f t="shared" si="118"/>
        <v>2.7435312932739641E-4</v>
      </c>
      <c r="S634" s="4">
        <f t="shared" si="119"/>
        <v>1</v>
      </c>
      <c r="T634">
        <f t="shared" si="120"/>
        <v>-1</v>
      </c>
      <c r="U634">
        <f t="shared" si="121"/>
        <v>-1</v>
      </c>
    </row>
    <row r="635" spans="1:21">
      <c r="A635" t="s">
        <v>511</v>
      </c>
      <c r="B635" t="s">
        <v>44</v>
      </c>
      <c r="C635" t="s">
        <v>586</v>
      </c>
      <c r="D635" s="1">
        <v>107.9</v>
      </c>
      <c r="E635" s="1">
        <f t="shared" si="110"/>
        <v>73</v>
      </c>
      <c r="F635">
        <v>25.7</v>
      </c>
      <c r="G635" s="1">
        <v>104</v>
      </c>
      <c r="H635">
        <f t="shared" si="111"/>
        <v>-47.3</v>
      </c>
      <c r="I635">
        <f t="shared" si="112"/>
        <v>-2.7823529411764705</v>
      </c>
      <c r="J635">
        <f t="shared" si="113"/>
        <v>0</v>
      </c>
      <c r="K635">
        <f t="shared" si="114"/>
        <v>1.0011070456397422</v>
      </c>
      <c r="L635">
        <f t="shared" si="115"/>
        <v>0</v>
      </c>
      <c r="M635" s="4">
        <f t="shared" si="116"/>
        <v>0</v>
      </c>
      <c r="N635">
        <f t="shared" si="117"/>
        <v>0</v>
      </c>
      <c r="O635" cm="1">
        <f t="array" ref="O635:Q635">_xlfn.XLOOKUP(C635, X$2:X$7, AG$2:AI$7)</f>
        <v>5.0900000000000001E-2</v>
      </c>
      <c r="P635">
        <v>-3.9</v>
      </c>
      <c r="Q635">
        <v>73.900000000000006</v>
      </c>
      <c r="R635">
        <f t="shared" si="118"/>
        <v>255.37974480000005</v>
      </c>
      <c r="S635" s="4">
        <f t="shared" si="119"/>
        <v>1</v>
      </c>
      <c r="T635">
        <f t="shared" si="120"/>
        <v>-1</v>
      </c>
      <c r="U635">
        <f t="shared" si="121"/>
        <v>-1</v>
      </c>
    </row>
    <row r="636" spans="1:21">
      <c r="A636" t="s">
        <v>542</v>
      </c>
      <c r="B636" t="s">
        <v>44</v>
      </c>
      <c r="C636" t="s">
        <v>586</v>
      </c>
      <c r="D636" s="1">
        <v>107.9</v>
      </c>
      <c r="E636" s="1">
        <f t="shared" si="110"/>
        <v>73</v>
      </c>
      <c r="F636">
        <v>13.5</v>
      </c>
      <c r="G636" s="1">
        <v>137</v>
      </c>
      <c r="H636">
        <f t="shared" si="111"/>
        <v>-59.5</v>
      </c>
      <c r="I636">
        <f t="shared" si="112"/>
        <v>-3.5</v>
      </c>
      <c r="J636">
        <f t="shared" si="113"/>
        <v>0</v>
      </c>
      <c r="K636">
        <f t="shared" si="114"/>
        <v>1.0011070456397422</v>
      </c>
      <c r="L636">
        <f t="shared" si="115"/>
        <v>0</v>
      </c>
      <c r="M636" s="4">
        <f t="shared" si="116"/>
        <v>0</v>
      </c>
      <c r="N636">
        <f t="shared" si="117"/>
        <v>0</v>
      </c>
      <c r="O636" cm="1">
        <f t="array" ref="O636:Q636">_xlfn.XLOOKUP(C636, X$2:X$7, AG$2:AI$7)</f>
        <v>5.0900000000000001E-2</v>
      </c>
      <c r="P636">
        <v>-3.9</v>
      </c>
      <c r="Q636">
        <v>73.900000000000006</v>
      </c>
      <c r="R636">
        <f t="shared" si="118"/>
        <v>577.59743070000002</v>
      </c>
      <c r="S636" s="4">
        <f t="shared" si="119"/>
        <v>1</v>
      </c>
      <c r="T636">
        <f t="shared" si="120"/>
        <v>-1</v>
      </c>
      <c r="U636">
        <f t="shared" si="121"/>
        <v>-1</v>
      </c>
    </row>
    <row r="637" spans="1:21">
      <c r="A637" t="s">
        <v>654</v>
      </c>
      <c r="B637" t="s">
        <v>44</v>
      </c>
      <c r="C637" t="s">
        <v>729</v>
      </c>
      <c r="D637" s="1">
        <v>99</v>
      </c>
      <c r="E637" s="1">
        <f t="shared" si="110"/>
        <v>82.5</v>
      </c>
      <c r="F637">
        <v>25.1</v>
      </c>
      <c r="G637" s="1">
        <v>68</v>
      </c>
      <c r="H637">
        <f t="shared" si="111"/>
        <v>-57.4</v>
      </c>
      <c r="I637">
        <f t="shared" si="112"/>
        <v>-3.3764705882352941</v>
      </c>
      <c r="J637">
        <f t="shared" si="113"/>
        <v>0</v>
      </c>
      <c r="K637">
        <f t="shared" si="114"/>
        <v>1.0909252297006058</v>
      </c>
      <c r="L637">
        <f t="shared" si="115"/>
        <v>0</v>
      </c>
      <c r="M637" s="4">
        <f t="shared" si="116"/>
        <v>0</v>
      </c>
      <c r="N637">
        <f t="shared" si="117"/>
        <v>0</v>
      </c>
      <c r="O637" cm="1">
        <f t="array" ref="O637:Q637">_xlfn.XLOOKUP(C637, X$2:X$7, AG$2:AI$7)</f>
        <v>55.4</v>
      </c>
      <c r="P637">
        <v>-0.253</v>
      </c>
      <c r="Q637">
        <v>0</v>
      </c>
      <c r="R637">
        <f t="shared" si="118"/>
        <v>2.1826211240145381E-6</v>
      </c>
      <c r="S637" s="4">
        <f t="shared" si="119"/>
        <v>1</v>
      </c>
      <c r="T637">
        <f t="shared" si="120"/>
        <v>-1</v>
      </c>
      <c r="U637">
        <f t="shared" si="121"/>
        <v>-1</v>
      </c>
    </row>
    <row r="638" spans="1:21">
      <c r="A638" t="s">
        <v>675</v>
      </c>
      <c r="B638" t="s">
        <v>44</v>
      </c>
      <c r="C638" t="s">
        <v>729</v>
      </c>
      <c r="D638" s="1">
        <v>99</v>
      </c>
      <c r="E638" s="1">
        <f t="shared" si="110"/>
        <v>82.5</v>
      </c>
      <c r="F638">
        <v>17.3</v>
      </c>
      <c r="G638" s="1">
        <v>89</v>
      </c>
      <c r="H638">
        <f t="shared" si="111"/>
        <v>-65.2</v>
      </c>
      <c r="I638">
        <f t="shared" si="112"/>
        <v>-3.835294117647059</v>
      </c>
      <c r="J638">
        <f t="shared" si="113"/>
        <v>0</v>
      </c>
      <c r="K638">
        <f t="shared" si="114"/>
        <v>1.0909252297006058</v>
      </c>
      <c r="L638">
        <f t="shared" si="115"/>
        <v>0</v>
      </c>
      <c r="M638" s="4">
        <f t="shared" si="116"/>
        <v>0</v>
      </c>
      <c r="N638">
        <f t="shared" si="117"/>
        <v>0</v>
      </c>
      <c r="O638" cm="1">
        <f t="array" ref="O638:Q638">_xlfn.XLOOKUP(C638, X$2:X$7, AG$2:AI$7)</f>
        <v>55.4</v>
      </c>
      <c r="P638">
        <v>-0.253</v>
      </c>
      <c r="Q638">
        <v>0</v>
      </c>
      <c r="R638">
        <f t="shared" si="118"/>
        <v>1.0754043076486999E-8</v>
      </c>
      <c r="S638" s="4">
        <f t="shared" si="119"/>
        <v>1</v>
      </c>
      <c r="T638">
        <f t="shared" si="120"/>
        <v>-1</v>
      </c>
      <c r="U638">
        <f t="shared" si="121"/>
        <v>-1</v>
      </c>
    </row>
    <row r="639" spans="1:21">
      <c r="A639" t="s">
        <v>701</v>
      </c>
      <c r="B639" t="s">
        <v>44</v>
      </c>
      <c r="C639" t="s">
        <v>729</v>
      </c>
      <c r="D639" s="1">
        <v>99</v>
      </c>
      <c r="E639" s="1">
        <f t="shared" si="110"/>
        <v>82.5</v>
      </c>
      <c r="F639">
        <v>10.4</v>
      </c>
      <c r="G639" s="1">
        <v>117</v>
      </c>
      <c r="H639">
        <f t="shared" si="111"/>
        <v>-72.099999999999994</v>
      </c>
      <c r="I639">
        <f t="shared" si="112"/>
        <v>-4.2411764705882353</v>
      </c>
      <c r="J639">
        <f t="shared" si="113"/>
        <v>0</v>
      </c>
      <c r="K639">
        <f t="shared" si="114"/>
        <v>1.0909252297006058</v>
      </c>
      <c r="L639">
        <f t="shared" si="115"/>
        <v>0</v>
      </c>
      <c r="M639" s="4">
        <f t="shared" si="116"/>
        <v>0</v>
      </c>
      <c r="N639">
        <f t="shared" si="117"/>
        <v>0</v>
      </c>
      <c r="O639" cm="1">
        <f t="array" ref="O639:Q639">_xlfn.XLOOKUP(C639, X$2:X$7, AG$2:AI$7)</f>
        <v>55.4</v>
      </c>
      <c r="P639">
        <v>-0.253</v>
      </c>
      <c r="Q639">
        <v>0</v>
      </c>
      <c r="R639">
        <f t="shared" si="118"/>
        <v>9.0163271627542762E-12</v>
      </c>
      <c r="S639" s="4">
        <f t="shared" si="119"/>
        <v>1</v>
      </c>
      <c r="T639">
        <f t="shared" si="120"/>
        <v>-1</v>
      </c>
      <c r="U639">
        <f t="shared" si="121"/>
        <v>-1</v>
      </c>
    </row>
    <row r="640" spans="1:21">
      <c r="A640" t="s">
        <v>728</v>
      </c>
      <c r="B640" t="s">
        <v>44</v>
      </c>
      <c r="C640" t="s">
        <v>729</v>
      </c>
      <c r="D640" s="1">
        <v>99</v>
      </c>
      <c r="E640" s="1">
        <f t="shared" si="110"/>
        <v>82.5</v>
      </c>
      <c r="F640">
        <v>0</v>
      </c>
      <c r="G640" s="1">
        <v>144</v>
      </c>
      <c r="H640">
        <f t="shared" si="111"/>
        <v>-82.5</v>
      </c>
      <c r="I640">
        <f t="shared" si="112"/>
        <v>-4.8529411764705879</v>
      </c>
      <c r="J640">
        <f t="shared" si="113"/>
        <v>0</v>
      </c>
      <c r="K640">
        <f t="shared" si="114"/>
        <v>1.0909252297006058</v>
      </c>
      <c r="L640">
        <f t="shared" si="115"/>
        <v>0</v>
      </c>
      <c r="M640" s="4">
        <f t="shared" si="116"/>
        <v>0</v>
      </c>
      <c r="N640">
        <f t="shared" si="117"/>
        <v>0</v>
      </c>
      <c r="O640" cm="1">
        <f t="array" ref="O640:Q640">_xlfn.XLOOKUP(C640, X$2:X$7, AG$2:AI$7)</f>
        <v>55.4</v>
      </c>
      <c r="P640">
        <v>-0.253</v>
      </c>
      <c r="Q640">
        <v>0</v>
      </c>
      <c r="R640">
        <f t="shared" si="118"/>
        <v>9.7356299054867777E-15</v>
      </c>
      <c r="S640" s="4">
        <f t="shared" si="119"/>
        <v>1</v>
      </c>
      <c r="T640">
        <f t="shared" si="120"/>
        <v>-1</v>
      </c>
      <c r="U640">
        <f t="shared" si="121"/>
        <v>-1</v>
      </c>
    </row>
    <row r="641" spans="1:21">
      <c r="A641" t="s">
        <v>272</v>
      </c>
      <c r="B641" t="s">
        <v>44</v>
      </c>
      <c r="C641" t="s">
        <v>407</v>
      </c>
      <c r="D641" s="1">
        <v>116.9</v>
      </c>
      <c r="E641" s="1">
        <f t="shared" si="110"/>
        <v>93.4</v>
      </c>
      <c r="F641">
        <v>49.1</v>
      </c>
      <c r="G641" s="1">
        <v>113</v>
      </c>
      <c r="H641">
        <f t="shared" si="111"/>
        <v>-44.300000000000004</v>
      </c>
      <c r="I641">
        <f t="shared" si="112"/>
        <v>-2.6058823529411765</v>
      </c>
      <c r="J641">
        <f t="shared" si="113"/>
        <v>0</v>
      </c>
      <c r="K641">
        <f t="shared" si="114"/>
        <v>0.94226603101549489</v>
      </c>
      <c r="L641">
        <f t="shared" si="115"/>
        <v>0</v>
      </c>
      <c r="M641" s="4">
        <f t="shared" si="116"/>
        <v>0</v>
      </c>
      <c r="N641">
        <f t="shared" si="117"/>
        <v>0</v>
      </c>
      <c r="O641" cm="1">
        <f t="array" ref="O641:Q641">_xlfn.XLOOKUP(C641, X$2:X$7, AG$2:AI$7)</f>
        <v>57.8</v>
      </c>
      <c r="P641">
        <v>-6.4299999999999996E-2</v>
      </c>
      <c r="Q641">
        <v>0</v>
      </c>
      <c r="R641">
        <f t="shared" si="118"/>
        <v>4.7147472775179285E-2</v>
      </c>
      <c r="S641" s="4">
        <f t="shared" si="119"/>
        <v>1</v>
      </c>
      <c r="T641">
        <f t="shared" si="120"/>
        <v>-1</v>
      </c>
      <c r="U641">
        <f t="shared" si="121"/>
        <v>-1</v>
      </c>
    </row>
    <row r="642" spans="1:21">
      <c r="A642" t="s">
        <v>281</v>
      </c>
      <c r="B642" t="s">
        <v>44</v>
      </c>
      <c r="C642" t="s">
        <v>407</v>
      </c>
      <c r="D642" s="1">
        <v>116.9</v>
      </c>
      <c r="E642" s="1">
        <f t="shared" ref="E642:E705" si="122">IF(C642=X$2, AE$2, IF(C642 = X$3, AE$3, IF(C642 = X$4, AE$4, IF(C642 = X$5, AE$5, IF(C642=X$6, AE$6, IF(C642=X$7, AE$7, ""))))))</f>
        <v>93.4</v>
      </c>
      <c r="F642">
        <v>36.799999999999997</v>
      </c>
      <c r="G642" s="1">
        <v>122</v>
      </c>
      <c r="H642">
        <f t="shared" ref="H642:H705" si="123">F642-E642</f>
        <v>-56.600000000000009</v>
      </c>
      <c r="I642">
        <f t="shared" ref="I642:I705" si="124">H642/17</f>
        <v>-3.329411764705883</v>
      </c>
      <c r="J642">
        <f t="shared" ref="J642:J705" si="125">IF(1+I642/AK$2&lt;0, 0,(1+I642/AK$2))</f>
        <v>0</v>
      </c>
      <c r="K642">
        <f t="shared" ref="K642:K705" si="126">IF(C642=X$2, AB$2, IF(C642 = X$3, AB$3, IF(C642 = X$4, AB$4, IF(C642 = X$5, AB$5, IF(C642=X$6, AB$6, IF(C642=X$7, AB$7, ""))))))</f>
        <v>0.94226603101549489</v>
      </c>
      <c r="L642">
        <f t="shared" ref="L642:L705" si="127">M642/AN$21*AN$12</f>
        <v>0</v>
      </c>
      <c r="M642" s="4">
        <f t="shared" ref="M642:M705" si="128">J642*K642</f>
        <v>0</v>
      </c>
      <c r="N642">
        <f t="shared" ref="N642:N705" si="129">M642*1.25</f>
        <v>0</v>
      </c>
      <c r="O642" cm="1">
        <f t="array" ref="O642:Q642">_xlfn.XLOOKUP(C642, X$2:X$7, AG$2:AI$7)</f>
        <v>57.8</v>
      </c>
      <c r="P642">
        <v>-6.4299999999999996E-2</v>
      </c>
      <c r="Q642">
        <v>0</v>
      </c>
      <c r="R642">
        <f t="shared" ref="R642:R705" si="130">IF(Q642=0,1.167*O642*EXP(P642*G642),1.167*(O642*G642^2+P642*G642+Q642))</f>
        <v>2.6432132441206707E-2</v>
      </c>
      <c r="S642" s="4">
        <f t="shared" ref="S642:S705" si="131">IF(OR(H642&lt;0, R642&lt;1), 1, R642)</f>
        <v>1</v>
      </c>
      <c r="T642">
        <f t="shared" ref="T642:T705" si="132">M642-S642</f>
        <v>-1</v>
      </c>
      <c r="U642">
        <f t="shared" ref="U642:U705" si="133">N642-S642</f>
        <v>-1</v>
      </c>
    </row>
    <row r="643" spans="1:21">
      <c r="A643" t="s">
        <v>320</v>
      </c>
      <c r="B643" t="s">
        <v>44</v>
      </c>
      <c r="C643" t="s">
        <v>407</v>
      </c>
      <c r="D643" s="1">
        <v>116.9</v>
      </c>
      <c r="E643" s="1">
        <f t="shared" si="122"/>
        <v>93.4</v>
      </c>
      <c r="F643">
        <v>17.8</v>
      </c>
      <c r="G643" s="1">
        <v>161</v>
      </c>
      <c r="H643">
        <f t="shared" si="123"/>
        <v>-75.600000000000009</v>
      </c>
      <c r="I643">
        <f t="shared" si="124"/>
        <v>-4.447058823529412</v>
      </c>
      <c r="J643">
        <f t="shared" si="125"/>
        <v>0</v>
      </c>
      <c r="K643">
        <f t="shared" si="126"/>
        <v>0.94226603101549489</v>
      </c>
      <c r="L643">
        <f t="shared" si="127"/>
        <v>0</v>
      </c>
      <c r="M643" s="4">
        <f t="shared" si="128"/>
        <v>0</v>
      </c>
      <c r="N643">
        <f t="shared" si="129"/>
        <v>0</v>
      </c>
      <c r="O643" cm="1">
        <f t="array" ref="O643:Q643">_xlfn.XLOOKUP(C643, X$2:X$7, AG$2:AI$7)</f>
        <v>57.8</v>
      </c>
      <c r="P643">
        <v>-6.4299999999999996E-2</v>
      </c>
      <c r="Q643">
        <v>0</v>
      </c>
      <c r="R643">
        <f t="shared" si="130"/>
        <v>2.1530391625276457E-3</v>
      </c>
      <c r="S643" s="4">
        <f t="shared" si="131"/>
        <v>1</v>
      </c>
      <c r="T643">
        <f t="shared" si="132"/>
        <v>-1</v>
      </c>
      <c r="U643">
        <f t="shared" si="133"/>
        <v>-1</v>
      </c>
    </row>
    <row r="644" spans="1:21">
      <c r="A644" t="s">
        <v>394</v>
      </c>
      <c r="B644" t="s">
        <v>44</v>
      </c>
      <c r="C644" t="s">
        <v>407</v>
      </c>
      <c r="D644" s="1">
        <v>116.9</v>
      </c>
      <c r="E644" s="1">
        <f t="shared" si="122"/>
        <v>93.4</v>
      </c>
      <c r="F644">
        <v>5.2</v>
      </c>
      <c r="G644" s="1">
        <v>235</v>
      </c>
      <c r="H644">
        <f t="shared" si="123"/>
        <v>-88.2</v>
      </c>
      <c r="I644">
        <f t="shared" si="124"/>
        <v>-5.1882352941176473</v>
      </c>
      <c r="J644">
        <f t="shared" si="125"/>
        <v>0</v>
      </c>
      <c r="K644">
        <f t="shared" si="126"/>
        <v>0.94226603101549489</v>
      </c>
      <c r="L644">
        <f t="shared" si="127"/>
        <v>0</v>
      </c>
      <c r="M644" s="4">
        <f t="shared" si="128"/>
        <v>0</v>
      </c>
      <c r="N644">
        <f t="shared" si="129"/>
        <v>0</v>
      </c>
      <c r="O644" cm="1">
        <f t="array" ref="O644:Q644">_xlfn.XLOOKUP(C644, X$2:X$7, AG$2:AI$7)</f>
        <v>57.8</v>
      </c>
      <c r="P644">
        <v>-6.4299999999999996E-2</v>
      </c>
      <c r="Q644">
        <v>0</v>
      </c>
      <c r="R644">
        <f t="shared" si="130"/>
        <v>1.8475318144322493E-5</v>
      </c>
      <c r="S644" s="4">
        <f t="shared" si="131"/>
        <v>1</v>
      </c>
      <c r="T644">
        <f t="shared" si="132"/>
        <v>-1</v>
      </c>
      <c r="U644">
        <f t="shared" si="133"/>
        <v>-1</v>
      </c>
    </row>
    <row r="645" spans="1:21">
      <c r="A645" t="s">
        <v>752</v>
      </c>
      <c r="B645" t="s">
        <v>80</v>
      </c>
      <c r="C645" t="s">
        <v>764</v>
      </c>
      <c r="D645" s="1">
        <v>124.7</v>
      </c>
      <c r="E645" s="1">
        <f t="shared" si="122"/>
        <v>118.7</v>
      </c>
      <c r="F645">
        <v>114</v>
      </c>
      <c r="G645" s="1">
        <v>23</v>
      </c>
      <c r="H645">
        <f t="shared" si="123"/>
        <v>-4.7000000000000028</v>
      </c>
      <c r="I645">
        <f t="shared" si="124"/>
        <v>-0.2764705882352943</v>
      </c>
      <c r="J645">
        <f t="shared" si="125"/>
        <v>0</v>
      </c>
      <c r="K645">
        <f t="shared" si="126"/>
        <v>0.70591649737063444</v>
      </c>
      <c r="L645">
        <f t="shared" si="127"/>
        <v>0</v>
      </c>
      <c r="M645" s="4">
        <f t="shared" si="128"/>
        <v>0</v>
      </c>
      <c r="N645">
        <f t="shared" si="129"/>
        <v>0</v>
      </c>
      <c r="O645" cm="1">
        <f t="array" ref="O645:Q645">_xlfn.XLOOKUP(C645, X$2:X$7, AG$2:AI$7)</f>
        <v>3.22</v>
      </c>
      <c r="P645">
        <v>-0.14799999999999999</v>
      </c>
      <c r="Q645">
        <v>0</v>
      </c>
      <c r="R645">
        <f t="shared" si="130"/>
        <v>0.1249074411030951</v>
      </c>
      <c r="S645" s="4">
        <f t="shared" si="131"/>
        <v>1</v>
      </c>
      <c r="T645">
        <f t="shared" si="132"/>
        <v>-1</v>
      </c>
      <c r="U645">
        <f t="shared" si="133"/>
        <v>-1</v>
      </c>
    </row>
    <row r="646" spans="1:21">
      <c r="A646" t="s">
        <v>121</v>
      </c>
      <c r="B646" t="s">
        <v>80</v>
      </c>
      <c r="C646" t="s">
        <v>159</v>
      </c>
      <c r="D646" s="1">
        <v>228</v>
      </c>
      <c r="E646" s="1">
        <f t="shared" si="122"/>
        <v>190</v>
      </c>
      <c r="F646">
        <v>22.6</v>
      </c>
      <c r="G646" s="1">
        <v>51</v>
      </c>
      <c r="H646">
        <f t="shared" si="123"/>
        <v>-167.4</v>
      </c>
      <c r="I646">
        <f t="shared" si="124"/>
        <v>-9.8470588235294123</v>
      </c>
      <c r="J646">
        <f t="shared" si="125"/>
        <v>0</v>
      </c>
      <c r="K646">
        <f t="shared" si="126"/>
        <v>0.57566309754037293</v>
      </c>
      <c r="L646">
        <f t="shared" si="127"/>
        <v>0</v>
      </c>
      <c r="M646" s="4">
        <f t="shared" si="128"/>
        <v>0</v>
      </c>
      <c r="N646">
        <f t="shared" si="129"/>
        <v>0</v>
      </c>
      <c r="O646" cm="1">
        <f t="array" ref="O646:Q646">_xlfn.XLOOKUP(C646, X$2:X$7, AG$2:AI$7)</f>
        <v>56.4</v>
      </c>
      <c r="P646">
        <v>-0.16300000000000001</v>
      </c>
      <c r="Q646">
        <v>0</v>
      </c>
      <c r="R646">
        <f t="shared" si="130"/>
        <v>1.6145813511834296E-2</v>
      </c>
      <c r="S646" s="4">
        <f t="shared" si="131"/>
        <v>1</v>
      </c>
      <c r="T646">
        <f t="shared" si="132"/>
        <v>-1</v>
      </c>
      <c r="U646">
        <f t="shared" si="133"/>
        <v>-1</v>
      </c>
    </row>
    <row r="647" spans="1:21">
      <c r="A647" t="s">
        <v>152</v>
      </c>
      <c r="B647" t="s">
        <v>80</v>
      </c>
      <c r="C647" t="s">
        <v>159</v>
      </c>
      <c r="D647" s="1">
        <v>228</v>
      </c>
      <c r="E647" s="1">
        <f t="shared" si="122"/>
        <v>190</v>
      </c>
      <c r="F647">
        <v>5.5</v>
      </c>
      <c r="G647" s="1">
        <v>82</v>
      </c>
      <c r="H647">
        <f t="shared" si="123"/>
        <v>-184.5</v>
      </c>
      <c r="I647">
        <f t="shared" si="124"/>
        <v>-10.852941176470589</v>
      </c>
      <c r="J647">
        <f t="shared" si="125"/>
        <v>0</v>
      </c>
      <c r="K647">
        <f t="shared" si="126"/>
        <v>0.57566309754037293</v>
      </c>
      <c r="L647">
        <f t="shared" si="127"/>
        <v>0</v>
      </c>
      <c r="M647" s="4">
        <f t="shared" si="128"/>
        <v>0</v>
      </c>
      <c r="N647">
        <f t="shared" si="129"/>
        <v>0</v>
      </c>
      <c r="O647" cm="1">
        <f t="array" ref="O647:Q647">_xlfn.XLOOKUP(C647, X$2:X$7, AG$2:AI$7)</f>
        <v>56.4</v>
      </c>
      <c r="P647">
        <v>-0.16300000000000001</v>
      </c>
      <c r="Q647">
        <v>0</v>
      </c>
      <c r="R647">
        <f t="shared" si="130"/>
        <v>1.0317391606297561E-4</v>
      </c>
      <c r="S647" s="4">
        <f t="shared" si="131"/>
        <v>1</v>
      </c>
      <c r="T647">
        <f t="shared" si="132"/>
        <v>-1</v>
      </c>
      <c r="U647">
        <f t="shared" si="133"/>
        <v>-1</v>
      </c>
    </row>
    <row r="648" spans="1:21">
      <c r="A648" t="s">
        <v>506</v>
      </c>
      <c r="B648" t="s">
        <v>80</v>
      </c>
      <c r="C648" t="s">
        <v>586</v>
      </c>
      <c r="D648" s="1">
        <v>107.9</v>
      </c>
      <c r="E648" s="1">
        <f t="shared" si="122"/>
        <v>73</v>
      </c>
      <c r="F648">
        <v>28.3</v>
      </c>
      <c r="G648" s="1">
        <v>99</v>
      </c>
      <c r="H648">
        <f t="shared" si="123"/>
        <v>-44.7</v>
      </c>
      <c r="I648">
        <f t="shared" si="124"/>
        <v>-2.6294117647058823</v>
      </c>
      <c r="J648">
        <f t="shared" si="125"/>
        <v>0</v>
      </c>
      <c r="K648">
        <f t="shared" si="126"/>
        <v>1.0011070456397422</v>
      </c>
      <c r="L648">
        <f t="shared" si="127"/>
        <v>0</v>
      </c>
      <c r="M648" s="4">
        <f t="shared" si="128"/>
        <v>0</v>
      </c>
      <c r="N648">
        <f t="shared" si="129"/>
        <v>0</v>
      </c>
      <c r="O648" cm="1">
        <f t="array" ref="O648:Q648">_xlfn.XLOOKUP(C648, X$2:X$7, AG$2:AI$7)</f>
        <v>5.0900000000000001E-2</v>
      </c>
      <c r="P648">
        <v>-3.9</v>
      </c>
      <c r="Q648">
        <v>73.900000000000006</v>
      </c>
      <c r="R648">
        <f t="shared" si="130"/>
        <v>217.84494030000005</v>
      </c>
      <c r="S648" s="4">
        <f t="shared" si="131"/>
        <v>1</v>
      </c>
      <c r="T648">
        <f t="shared" si="132"/>
        <v>-1</v>
      </c>
      <c r="U648">
        <f t="shared" si="133"/>
        <v>-1</v>
      </c>
    </row>
    <row r="649" spans="1:21">
      <c r="A649" t="s">
        <v>648</v>
      </c>
      <c r="B649" t="s">
        <v>80</v>
      </c>
      <c r="C649" t="s">
        <v>729</v>
      </c>
      <c r="D649" s="1">
        <v>99</v>
      </c>
      <c r="E649" s="1">
        <f t="shared" si="122"/>
        <v>82.5</v>
      </c>
      <c r="F649">
        <v>27.9</v>
      </c>
      <c r="G649" s="1">
        <v>62</v>
      </c>
      <c r="H649">
        <f t="shared" si="123"/>
        <v>-54.6</v>
      </c>
      <c r="I649">
        <f t="shared" si="124"/>
        <v>-3.2117647058823531</v>
      </c>
      <c r="J649">
        <f t="shared" si="125"/>
        <v>0</v>
      </c>
      <c r="K649">
        <f t="shared" si="126"/>
        <v>1.0909252297006058</v>
      </c>
      <c r="L649">
        <f t="shared" si="127"/>
        <v>0</v>
      </c>
      <c r="M649" s="4">
        <f t="shared" si="128"/>
        <v>0</v>
      </c>
      <c r="N649">
        <f t="shared" si="129"/>
        <v>0</v>
      </c>
      <c r="O649" cm="1">
        <f t="array" ref="O649:Q649">_xlfn.XLOOKUP(C649, X$2:X$7, AG$2:AI$7)</f>
        <v>55.4</v>
      </c>
      <c r="P649">
        <v>-0.253</v>
      </c>
      <c r="Q649">
        <v>0</v>
      </c>
      <c r="R649">
        <f t="shared" si="130"/>
        <v>9.9594963696507644E-6</v>
      </c>
      <c r="S649" s="4">
        <f t="shared" si="131"/>
        <v>1</v>
      </c>
      <c r="T649">
        <f t="shared" si="132"/>
        <v>-1</v>
      </c>
      <c r="U649">
        <f t="shared" si="133"/>
        <v>-1</v>
      </c>
    </row>
    <row r="650" spans="1:21">
      <c r="A650" t="s">
        <v>668</v>
      </c>
      <c r="B650" t="s">
        <v>80</v>
      </c>
      <c r="C650" t="s">
        <v>729</v>
      </c>
      <c r="D650" s="1">
        <v>99</v>
      </c>
      <c r="E650" s="1">
        <f t="shared" si="122"/>
        <v>82.5</v>
      </c>
      <c r="F650">
        <v>20.5</v>
      </c>
      <c r="G650" s="1">
        <v>82</v>
      </c>
      <c r="H650">
        <f t="shared" si="123"/>
        <v>-62</v>
      </c>
      <c r="I650">
        <f t="shared" si="124"/>
        <v>-3.6470588235294117</v>
      </c>
      <c r="J650">
        <f t="shared" si="125"/>
        <v>0</v>
      </c>
      <c r="K650">
        <f t="shared" si="126"/>
        <v>1.0909252297006058</v>
      </c>
      <c r="L650">
        <f t="shared" si="127"/>
        <v>0</v>
      </c>
      <c r="M650" s="4">
        <f t="shared" si="128"/>
        <v>0</v>
      </c>
      <c r="N650">
        <f t="shared" si="129"/>
        <v>0</v>
      </c>
      <c r="O650" cm="1">
        <f t="array" ref="O650:Q650">_xlfn.XLOOKUP(C650, X$2:X$7, AG$2:AI$7)</f>
        <v>55.4</v>
      </c>
      <c r="P650">
        <v>-0.253</v>
      </c>
      <c r="Q650">
        <v>0</v>
      </c>
      <c r="R650">
        <f t="shared" si="130"/>
        <v>6.3198576932221254E-8</v>
      </c>
      <c r="S650" s="4">
        <f t="shared" si="131"/>
        <v>1</v>
      </c>
      <c r="T650">
        <f t="shared" si="132"/>
        <v>-1</v>
      </c>
      <c r="U650">
        <f t="shared" si="133"/>
        <v>-1</v>
      </c>
    </row>
    <row r="651" spans="1:21">
      <c r="A651" t="s">
        <v>674</v>
      </c>
      <c r="B651" t="s">
        <v>80</v>
      </c>
      <c r="C651" t="s">
        <v>729</v>
      </c>
      <c r="D651" s="1">
        <v>99</v>
      </c>
      <c r="E651" s="1">
        <f t="shared" si="122"/>
        <v>82.5</v>
      </c>
      <c r="F651">
        <v>18.100000000000001</v>
      </c>
      <c r="G651" s="1">
        <v>88</v>
      </c>
      <c r="H651">
        <f t="shared" si="123"/>
        <v>-64.400000000000006</v>
      </c>
      <c r="I651">
        <f t="shared" si="124"/>
        <v>-3.7882352941176474</v>
      </c>
      <c r="J651">
        <f t="shared" si="125"/>
        <v>0</v>
      </c>
      <c r="K651">
        <f t="shared" si="126"/>
        <v>1.0909252297006058</v>
      </c>
      <c r="L651">
        <f t="shared" si="127"/>
        <v>0</v>
      </c>
      <c r="M651" s="4">
        <f t="shared" si="128"/>
        <v>0</v>
      </c>
      <c r="N651">
        <f t="shared" si="129"/>
        <v>0</v>
      </c>
      <c r="O651" cm="1">
        <f t="array" ref="O651:Q651">_xlfn.XLOOKUP(C651, X$2:X$7, AG$2:AI$7)</f>
        <v>55.4</v>
      </c>
      <c r="P651">
        <v>-0.253</v>
      </c>
      <c r="Q651">
        <v>0</v>
      </c>
      <c r="R651">
        <f t="shared" si="130"/>
        <v>1.3849952236566849E-8</v>
      </c>
      <c r="S651" s="4">
        <f t="shared" si="131"/>
        <v>1</v>
      </c>
      <c r="T651">
        <f t="shared" si="132"/>
        <v>-1</v>
      </c>
      <c r="U651">
        <f t="shared" si="133"/>
        <v>-1</v>
      </c>
    </row>
    <row r="652" spans="1:21">
      <c r="A652" t="s">
        <v>245</v>
      </c>
      <c r="B652" t="s">
        <v>80</v>
      </c>
      <c r="C652" t="s">
        <v>407</v>
      </c>
      <c r="D652" s="1">
        <v>116.9</v>
      </c>
      <c r="E652" s="1">
        <f t="shared" si="122"/>
        <v>93.4</v>
      </c>
      <c r="F652">
        <v>82.1</v>
      </c>
      <c r="G652" s="1">
        <v>86</v>
      </c>
      <c r="H652">
        <f t="shared" si="123"/>
        <v>-11.300000000000011</v>
      </c>
      <c r="I652">
        <f t="shared" si="124"/>
        <v>-0.66470588235294181</v>
      </c>
      <c r="J652">
        <f t="shared" si="125"/>
        <v>0</v>
      </c>
      <c r="K652">
        <f t="shared" si="126"/>
        <v>0.94226603101549489</v>
      </c>
      <c r="L652">
        <f t="shared" si="127"/>
        <v>0</v>
      </c>
      <c r="M652" s="4">
        <f t="shared" si="128"/>
        <v>0</v>
      </c>
      <c r="N652">
        <f t="shared" si="129"/>
        <v>0</v>
      </c>
      <c r="O652" cm="1">
        <f t="array" ref="O652:Q652">_xlfn.XLOOKUP(C652, X$2:X$7, AG$2:AI$7)</f>
        <v>57.8</v>
      </c>
      <c r="P652">
        <v>-6.4299999999999996E-2</v>
      </c>
      <c r="Q652">
        <v>0</v>
      </c>
      <c r="R652">
        <f t="shared" si="130"/>
        <v>0.26756978423663247</v>
      </c>
      <c r="S652" s="4">
        <f t="shared" si="131"/>
        <v>1</v>
      </c>
      <c r="T652">
        <f t="shared" si="132"/>
        <v>-1</v>
      </c>
      <c r="U652">
        <f t="shared" si="133"/>
        <v>-1</v>
      </c>
    </row>
    <row r="653" spans="1:21">
      <c r="A653" t="s">
        <v>293</v>
      </c>
      <c r="B653" t="s">
        <v>80</v>
      </c>
      <c r="C653" t="s">
        <v>407</v>
      </c>
      <c r="D653" s="1">
        <v>116.9</v>
      </c>
      <c r="E653" s="1">
        <f t="shared" si="122"/>
        <v>93.4</v>
      </c>
      <c r="F653">
        <v>30.2</v>
      </c>
      <c r="G653" s="1">
        <v>134</v>
      </c>
      <c r="H653">
        <f t="shared" si="123"/>
        <v>-63.2</v>
      </c>
      <c r="I653">
        <f t="shared" si="124"/>
        <v>-3.7176470588235295</v>
      </c>
      <c r="J653">
        <f t="shared" si="125"/>
        <v>0</v>
      </c>
      <c r="K653">
        <f t="shared" si="126"/>
        <v>0.94226603101549489</v>
      </c>
      <c r="L653">
        <f t="shared" si="127"/>
        <v>0</v>
      </c>
      <c r="M653" s="4">
        <f t="shared" si="128"/>
        <v>0</v>
      </c>
      <c r="N653">
        <f t="shared" si="129"/>
        <v>0</v>
      </c>
      <c r="O653" cm="1">
        <f t="array" ref="O653:Q653">_xlfn.XLOOKUP(C653, X$2:X$7, AG$2:AI$7)</f>
        <v>57.8</v>
      </c>
      <c r="P653">
        <v>-6.4299999999999996E-2</v>
      </c>
      <c r="Q653">
        <v>0</v>
      </c>
      <c r="R653">
        <f t="shared" si="130"/>
        <v>1.2218856924051787E-2</v>
      </c>
      <c r="S653" s="4">
        <f t="shared" si="131"/>
        <v>1</v>
      </c>
      <c r="T653">
        <f t="shared" si="132"/>
        <v>-1</v>
      </c>
      <c r="U653">
        <f t="shared" si="133"/>
        <v>-1</v>
      </c>
    </row>
    <row r="654" spans="1:21">
      <c r="A654" t="s">
        <v>332</v>
      </c>
      <c r="B654" t="s">
        <v>80</v>
      </c>
      <c r="C654" t="s">
        <v>407</v>
      </c>
      <c r="D654" s="1">
        <v>116.9</v>
      </c>
      <c r="E654" s="1">
        <f t="shared" si="122"/>
        <v>93.4</v>
      </c>
      <c r="F654">
        <v>12.3</v>
      </c>
      <c r="G654" s="1">
        <v>173</v>
      </c>
      <c r="H654">
        <f t="shared" si="123"/>
        <v>-81.100000000000009</v>
      </c>
      <c r="I654">
        <f t="shared" si="124"/>
        <v>-4.7705882352941185</v>
      </c>
      <c r="J654">
        <f t="shared" si="125"/>
        <v>0</v>
      </c>
      <c r="K654">
        <f t="shared" si="126"/>
        <v>0.94226603101549489</v>
      </c>
      <c r="L654">
        <f t="shared" si="127"/>
        <v>0</v>
      </c>
      <c r="M654" s="4">
        <f t="shared" si="128"/>
        <v>0</v>
      </c>
      <c r="N654">
        <f t="shared" si="129"/>
        <v>0</v>
      </c>
      <c r="O654" cm="1">
        <f t="array" ref="O654:Q654">_xlfn.XLOOKUP(C654, X$2:X$7, AG$2:AI$7)</f>
        <v>57.8</v>
      </c>
      <c r="P654">
        <v>-6.4299999999999996E-2</v>
      </c>
      <c r="Q654">
        <v>0</v>
      </c>
      <c r="R654">
        <f t="shared" si="130"/>
        <v>9.9529152773890068E-4</v>
      </c>
      <c r="S654" s="4">
        <f t="shared" si="131"/>
        <v>1</v>
      </c>
      <c r="T654">
        <f t="shared" si="132"/>
        <v>-1</v>
      </c>
      <c r="U654">
        <f t="shared" si="133"/>
        <v>-1</v>
      </c>
    </row>
    <row r="655" spans="1:21">
      <c r="A655" t="s">
        <v>379</v>
      </c>
      <c r="B655" t="s">
        <v>80</v>
      </c>
      <c r="C655" t="s">
        <v>407</v>
      </c>
      <c r="D655" s="1">
        <v>116.9</v>
      </c>
      <c r="E655" s="1">
        <f t="shared" si="122"/>
        <v>93.4</v>
      </c>
      <c r="F655">
        <v>6.5</v>
      </c>
      <c r="G655" s="1">
        <v>220</v>
      </c>
      <c r="H655">
        <f t="shared" si="123"/>
        <v>-86.9</v>
      </c>
      <c r="I655">
        <f t="shared" si="124"/>
        <v>-5.1117647058823534</v>
      </c>
      <c r="J655">
        <f t="shared" si="125"/>
        <v>0</v>
      </c>
      <c r="K655">
        <f t="shared" si="126"/>
        <v>0.94226603101549489</v>
      </c>
      <c r="L655">
        <f t="shared" si="127"/>
        <v>0</v>
      </c>
      <c r="M655" s="4">
        <f t="shared" si="128"/>
        <v>0</v>
      </c>
      <c r="N655">
        <f t="shared" si="129"/>
        <v>0</v>
      </c>
      <c r="O655" cm="1">
        <f t="array" ref="O655:Q655">_xlfn.XLOOKUP(C655, X$2:X$7, AG$2:AI$7)</f>
        <v>57.8</v>
      </c>
      <c r="P655">
        <v>-6.4299999999999996E-2</v>
      </c>
      <c r="Q655">
        <v>0</v>
      </c>
      <c r="R655">
        <f t="shared" si="130"/>
        <v>4.8469546181864289E-5</v>
      </c>
      <c r="S655" s="4">
        <f t="shared" si="131"/>
        <v>1</v>
      </c>
      <c r="T655">
        <f t="shared" si="132"/>
        <v>-1</v>
      </c>
      <c r="U655">
        <f t="shared" si="133"/>
        <v>-1</v>
      </c>
    </row>
    <row r="656" spans="1:21">
      <c r="A656" t="s">
        <v>397</v>
      </c>
      <c r="B656" t="s">
        <v>80</v>
      </c>
      <c r="C656" t="s">
        <v>407</v>
      </c>
      <c r="D656" s="1">
        <v>116.9</v>
      </c>
      <c r="E656" s="1">
        <f t="shared" si="122"/>
        <v>93.4</v>
      </c>
      <c r="F656">
        <v>4.3</v>
      </c>
      <c r="G656" s="1">
        <v>238</v>
      </c>
      <c r="H656">
        <f t="shared" si="123"/>
        <v>-89.100000000000009</v>
      </c>
      <c r="I656">
        <f t="shared" si="124"/>
        <v>-5.2411764705882362</v>
      </c>
      <c r="J656">
        <f t="shared" si="125"/>
        <v>0</v>
      </c>
      <c r="K656">
        <f t="shared" si="126"/>
        <v>0.94226603101549489</v>
      </c>
      <c r="L656">
        <f t="shared" si="127"/>
        <v>0</v>
      </c>
      <c r="M656" s="4">
        <f t="shared" si="128"/>
        <v>0</v>
      </c>
      <c r="N656">
        <f t="shared" si="129"/>
        <v>0</v>
      </c>
      <c r="O656" cm="1">
        <f t="array" ref="O656:Q656">_xlfn.XLOOKUP(C656, X$2:X$7, AG$2:AI$7)</f>
        <v>57.8</v>
      </c>
      <c r="P656">
        <v>-6.4299999999999996E-2</v>
      </c>
      <c r="Q656">
        <v>0</v>
      </c>
      <c r="R656">
        <f t="shared" si="130"/>
        <v>1.5234090109322092E-5</v>
      </c>
      <c r="S656" s="4">
        <f t="shared" si="131"/>
        <v>1</v>
      </c>
      <c r="T656">
        <f t="shared" si="132"/>
        <v>-1</v>
      </c>
      <c r="U656">
        <f t="shared" si="133"/>
        <v>-1</v>
      </c>
    </row>
    <row r="657" spans="1:21">
      <c r="A657" t="s">
        <v>135</v>
      </c>
      <c r="B657" t="s">
        <v>64</v>
      </c>
      <c r="C657" t="s">
        <v>159</v>
      </c>
      <c r="D657" s="1">
        <v>228</v>
      </c>
      <c r="E657" s="1">
        <f t="shared" si="122"/>
        <v>190</v>
      </c>
      <c r="F657">
        <v>17.5</v>
      </c>
      <c r="G657" s="1">
        <v>65</v>
      </c>
      <c r="H657">
        <f t="shared" si="123"/>
        <v>-172.5</v>
      </c>
      <c r="I657">
        <f t="shared" si="124"/>
        <v>-10.147058823529411</v>
      </c>
      <c r="J657">
        <f t="shared" si="125"/>
        <v>0</v>
      </c>
      <c r="K657">
        <f t="shared" si="126"/>
        <v>0.57566309754037293</v>
      </c>
      <c r="L657">
        <f t="shared" si="127"/>
        <v>0</v>
      </c>
      <c r="M657" s="4">
        <f t="shared" si="128"/>
        <v>0</v>
      </c>
      <c r="N657">
        <f t="shared" si="129"/>
        <v>0</v>
      </c>
      <c r="O657" cm="1">
        <f t="array" ref="O657:Q657">_xlfn.XLOOKUP(C657, X$2:X$7, AG$2:AI$7)</f>
        <v>56.4</v>
      </c>
      <c r="P657">
        <v>-0.16300000000000001</v>
      </c>
      <c r="Q657">
        <v>0</v>
      </c>
      <c r="R657">
        <f t="shared" si="130"/>
        <v>1.6481621041039122E-3</v>
      </c>
      <c r="S657" s="4">
        <f t="shared" si="131"/>
        <v>1</v>
      </c>
      <c r="T657">
        <f t="shared" si="132"/>
        <v>-1</v>
      </c>
      <c r="U657">
        <f t="shared" si="133"/>
        <v>-1</v>
      </c>
    </row>
    <row r="658" spans="1:21">
      <c r="A658" t="s">
        <v>502</v>
      </c>
      <c r="B658" t="s">
        <v>64</v>
      </c>
      <c r="C658" t="s">
        <v>586</v>
      </c>
      <c r="D658" s="1">
        <v>107.9</v>
      </c>
      <c r="E658" s="1">
        <f t="shared" si="122"/>
        <v>73</v>
      </c>
      <c r="F658">
        <v>30</v>
      </c>
      <c r="G658" s="1">
        <v>95</v>
      </c>
      <c r="H658">
        <f t="shared" si="123"/>
        <v>-43</v>
      </c>
      <c r="I658">
        <f t="shared" si="124"/>
        <v>-2.5294117647058822</v>
      </c>
      <c r="J658">
        <f t="shared" si="125"/>
        <v>0</v>
      </c>
      <c r="K658">
        <f t="shared" si="126"/>
        <v>1.0011070456397422</v>
      </c>
      <c r="L658">
        <f t="shared" si="127"/>
        <v>0</v>
      </c>
      <c r="M658" s="4">
        <f t="shared" si="128"/>
        <v>0</v>
      </c>
      <c r="N658">
        <f t="shared" si="129"/>
        <v>0</v>
      </c>
      <c r="O658" cm="1">
        <f t="array" ref="O658:Q658">_xlfn.XLOOKUP(C658, X$2:X$7, AG$2:AI$7)</f>
        <v>5.0900000000000001E-2</v>
      </c>
      <c r="P658">
        <v>-3.9</v>
      </c>
      <c r="Q658">
        <v>73.900000000000006</v>
      </c>
      <c r="R658">
        <f t="shared" si="130"/>
        <v>189.95550750000001</v>
      </c>
      <c r="S658" s="4">
        <f t="shared" si="131"/>
        <v>1</v>
      </c>
      <c r="T658">
        <f t="shared" si="132"/>
        <v>-1</v>
      </c>
      <c r="U658">
        <f t="shared" si="133"/>
        <v>-1</v>
      </c>
    </row>
    <row r="659" spans="1:21">
      <c r="A659" t="s">
        <v>573</v>
      </c>
      <c r="B659" t="s">
        <v>64</v>
      </c>
      <c r="C659" t="s">
        <v>586</v>
      </c>
      <c r="D659" s="1">
        <v>107.9</v>
      </c>
      <c r="E659" s="1">
        <f t="shared" si="122"/>
        <v>73</v>
      </c>
      <c r="F659">
        <v>4.2</v>
      </c>
      <c r="G659" s="1">
        <v>168</v>
      </c>
      <c r="H659">
        <f t="shared" si="123"/>
        <v>-68.8</v>
      </c>
      <c r="I659">
        <f t="shared" si="124"/>
        <v>-4.0470588235294116</v>
      </c>
      <c r="J659">
        <f t="shared" si="125"/>
        <v>0</v>
      </c>
      <c r="K659">
        <f t="shared" si="126"/>
        <v>1.0011070456397422</v>
      </c>
      <c r="L659">
        <f t="shared" si="127"/>
        <v>0</v>
      </c>
      <c r="M659" s="4">
        <f t="shared" si="128"/>
        <v>0</v>
      </c>
      <c r="N659">
        <f t="shared" si="129"/>
        <v>0</v>
      </c>
      <c r="O659" cm="1">
        <f t="array" ref="O659:Q659">_xlfn.XLOOKUP(C659, X$2:X$7, AG$2:AI$7)</f>
        <v>5.0900000000000001E-2</v>
      </c>
      <c r="P659">
        <v>-3.9</v>
      </c>
      <c r="Q659">
        <v>73.900000000000006</v>
      </c>
      <c r="R659">
        <f t="shared" si="130"/>
        <v>998.13696720000007</v>
      </c>
      <c r="S659" s="4">
        <f t="shared" si="131"/>
        <v>1</v>
      </c>
      <c r="T659">
        <f t="shared" si="132"/>
        <v>-1</v>
      </c>
      <c r="U659">
        <f t="shared" si="133"/>
        <v>-1</v>
      </c>
    </row>
    <row r="660" spans="1:21">
      <c r="A660" t="s">
        <v>582</v>
      </c>
      <c r="B660" t="s">
        <v>64</v>
      </c>
      <c r="C660" t="s">
        <v>586</v>
      </c>
      <c r="D660" s="1">
        <v>107.9</v>
      </c>
      <c r="E660" s="1">
        <f t="shared" si="122"/>
        <v>73</v>
      </c>
      <c r="F660">
        <v>0</v>
      </c>
      <c r="G660" s="1">
        <v>177</v>
      </c>
      <c r="H660">
        <f t="shared" si="123"/>
        <v>-73</v>
      </c>
      <c r="I660">
        <f t="shared" si="124"/>
        <v>-4.2941176470588234</v>
      </c>
      <c r="J660">
        <f t="shared" si="125"/>
        <v>0</v>
      </c>
      <c r="K660">
        <f t="shared" si="126"/>
        <v>1.0011070456397422</v>
      </c>
      <c r="L660">
        <f t="shared" si="127"/>
        <v>0</v>
      </c>
      <c r="M660" s="4">
        <f t="shared" si="128"/>
        <v>0</v>
      </c>
      <c r="N660">
        <f t="shared" si="129"/>
        <v>0</v>
      </c>
      <c r="O660" cm="1">
        <f t="array" ref="O660:Q660">_xlfn.XLOOKUP(C660, X$2:X$7, AG$2:AI$7)</f>
        <v>5.0900000000000001E-2</v>
      </c>
      <c r="P660">
        <v>-3.9</v>
      </c>
      <c r="Q660">
        <v>73.900000000000006</v>
      </c>
      <c r="R660">
        <f t="shared" si="130"/>
        <v>1141.6131986999999</v>
      </c>
      <c r="S660" s="4">
        <f t="shared" si="131"/>
        <v>1</v>
      </c>
      <c r="T660">
        <f t="shared" si="132"/>
        <v>-1</v>
      </c>
      <c r="U660">
        <f t="shared" si="133"/>
        <v>-1</v>
      </c>
    </row>
    <row r="661" spans="1:21">
      <c r="A661" t="s">
        <v>628</v>
      </c>
      <c r="B661" t="s">
        <v>64</v>
      </c>
      <c r="C661" t="s">
        <v>729</v>
      </c>
      <c r="D661" s="1">
        <v>99</v>
      </c>
      <c r="E661" s="1">
        <f t="shared" si="122"/>
        <v>82.5</v>
      </c>
      <c r="F661">
        <v>39.4</v>
      </c>
      <c r="G661" s="1">
        <v>42</v>
      </c>
      <c r="H661">
        <f t="shared" si="123"/>
        <v>-43.1</v>
      </c>
      <c r="I661">
        <f t="shared" si="124"/>
        <v>-2.5352941176470587</v>
      </c>
      <c r="J661">
        <f t="shared" si="125"/>
        <v>0</v>
      </c>
      <c r="K661">
        <f t="shared" si="126"/>
        <v>1.0909252297006058</v>
      </c>
      <c r="L661">
        <f t="shared" si="127"/>
        <v>0</v>
      </c>
      <c r="M661" s="4">
        <f t="shared" si="128"/>
        <v>0</v>
      </c>
      <c r="N661">
        <f t="shared" si="129"/>
        <v>0</v>
      </c>
      <c r="O661" cm="1">
        <f t="array" ref="O661:Q661">_xlfn.XLOOKUP(C661, X$2:X$7, AG$2:AI$7)</f>
        <v>55.4</v>
      </c>
      <c r="P661">
        <v>-0.253</v>
      </c>
      <c r="Q661">
        <v>0</v>
      </c>
      <c r="R661">
        <f t="shared" si="130"/>
        <v>1.5695221752139632E-3</v>
      </c>
      <c r="S661" s="4">
        <f t="shared" si="131"/>
        <v>1</v>
      </c>
      <c r="T661">
        <f t="shared" si="132"/>
        <v>-1</v>
      </c>
      <c r="U661">
        <f t="shared" si="133"/>
        <v>-1</v>
      </c>
    </row>
    <row r="662" spans="1:21">
      <c r="A662" t="s">
        <v>647</v>
      </c>
      <c r="B662" t="s">
        <v>64</v>
      </c>
      <c r="C662" t="s">
        <v>729</v>
      </c>
      <c r="D662" s="1">
        <v>99</v>
      </c>
      <c r="E662" s="1">
        <f t="shared" si="122"/>
        <v>82.5</v>
      </c>
      <c r="F662">
        <v>28.3</v>
      </c>
      <c r="G662" s="1">
        <v>61</v>
      </c>
      <c r="H662">
        <f t="shared" si="123"/>
        <v>-54.2</v>
      </c>
      <c r="I662">
        <f t="shared" si="124"/>
        <v>-3.1882352941176473</v>
      </c>
      <c r="J662">
        <f t="shared" si="125"/>
        <v>0</v>
      </c>
      <c r="K662">
        <f t="shared" si="126"/>
        <v>1.0909252297006058</v>
      </c>
      <c r="L662">
        <f t="shared" si="127"/>
        <v>0</v>
      </c>
      <c r="M662" s="4">
        <f t="shared" si="128"/>
        <v>0</v>
      </c>
      <c r="N662">
        <f t="shared" si="129"/>
        <v>0</v>
      </c>
      <c r="O662" cm="1">
        <f t="array" ref="O662:Q662">_xlfn.XLOOKUP(C662, X$2:X$7, AG$2:AI$7)</f>
        <v>55.4</v>
      </c>
      <c r="P662">
        <v>-0.253</v>
      </c>
      <c r="Q662">
        <v>0</v>
      </c>
      <c r="R662">
        <f t="shared" si="130"/>
        <v>1.2826668820168433E-5</v>
      </c>
      <c r="S662" s="4">
        <f t="shared" si="131"/>
        <v>1</v>
      </c>
      <c r="T662">
        <f t="shared" si="132"/>
        <v>-1</v>
      </c>
      <c r="U662">
        <f t="shared" si="133"/>
        <v>-1</v>
      </c>
    </row>
    <row r="663" spans="1:21">
      <c r="A663" t="s">
        <v>719</v>
      </c>
      <c r="B663" t="s">
        <v>64</v>
      </c>
      <c r="C663" t="s">
        <v>729</v>
      </c>
      <c r="D663" s="1">
        <v>99</v>
      </c>
      <c r="E663" s="1">
        <f t="shared" si="122"/>
        <v>82.5</v>
      </c>
      <c r="F663">
        <v>5.2</v>
      </c>
      <c r="G663" s="1">
        <v>135</v>
      </c>
      <c r="H663">
        <f t="shared" si="123"/>
        <v>-77.3</v>
      </c>
      <c r="I663">
        <f t="shared" si="124"/>
        <v>-4.5470588235294116</v>
      </c>
      <c r="J663">
        <f t="shared" si="125"/>
        <v>0</v>
      </c>
      <c r="K663">
        <f t="shared" si="126"/>
        <v>1.0909252297006058</v>
      </c>
      <c r="L663">
        <f t="shared" si="127"/>
        <v>0</v>
      </c>
      <c r="M663" s="4">
        <f t="shared" si="128"/>
        <v>0</v>
      </c>
      <c r="N663">
        <f t="shared" si="129"/>
        <v>0</v>
      </c>
      <c r="O663" cm="1">
        <f t="array" ref="O663:Q663">_xlfn.XLOOKUP(C663, X$2:X$7, AG$2:AI$7)</f>
        <v>55.4</v>
      </c>
      <c r="P663">
        <v>-0.253</v>
      </c>
      <c r="Q663">
        <v>0</v>
      </c>
      <c r="R663">
        <f t="shared" si="130"/>
        <v>9.4897023636523399E-14</v>
      </c>
      <c r="S663" s="4">
        <f t="shared" si="131"/>
        <v>1</v>
      </c>
      <c r="T663">
        <f t="shared" si="132"/>
        <v>-1</v>
      </c>
      <c r="U663">
        <f t="shared" si="133"/>
        <v>-1</v>
      </c>
    </row>
    <row r="664" spans="1:21">
      <c r="A664" t="s">
        <v>292</v>
      </c>
      <c r="B664" t="s">
        <v>64</v>
      </c>
      <c r="C664" t="s">
        <v>407</v>
      </c>
      <c r="D664" s="1">
        <v>116.9</v>
      </c>
      <c r="E664" s="1">
        <f t="shared" si="122"/>
        <v>93.4</v>
      </c>
      <c r="F664">
        <v>30.6</v>
      </c>
      <c r="G664" s="1">
        <v>133</v>
      </c>
      <c r="H664">
        <f t="shared" si="123"/>
        <v>-62.800000000000004</v>
      </c>
      <c r="I664">
        <f t="shared" si="124"/>
        <v>-3.6941176470588237</v>
      </c>
      <c r="J664">
        <f t="shared" si="125"/>
        <v>0</v>
      </c>
      <c r="K664">
        <f t="shared" si="126"/>
        <v>0.94226603101549489</v>
      </c>
      <c r="L664">
        <f t="shared" si="127"/>
        <v>0</v>
      </c>
      <c r="M664" s="4">
        <f t="shared" si="128"/>
        <v>0</v>
      </c>
      <c r="N664">
        <f t="shared" si="129"/>
        <v>0</v>
      </c>
      <c r="O664" cm="1">
        <f t="array" ref="O664:Q664">_xlfn.XLOOKUP(C664, X$2:X$7, AG$2:AI$7)</f>
        <v>57.8</v>
      </c>
      <c r="P664">
        <v>-6.4299999999999996E-2</v>
      </c>
      <c r="Q664">
        <v>0</v>
      </c>
      <c r="R664">
        <f t="shared" si="130"/>
        <v>1.3030339003680471E-2</v>
      </c>
      <c r="S664" s="4">
        <f t="shared" si="131"/>
        <v>1</v>
      </c>
      <c r="T664">
        <f t="shared" si="132"/>
        <v>-1</v>
      </c>
      <c r="U664">
        <f t="shared" si="133"/>
        <v>-1</v>
      </c>
    </row>
    <row r="665" spans="1:21">
      <c r="A665" t="s">
        <v>321</v>
      </c>
      <c r="B665" t="s">
        <v>64</v>
      </c>
      <c r="C665" t="s">
        <v>407</v>
      </c>
      <c r="D665" s="1">
        <v>116.9</v>
      </c>
      <c r="E665" s="1">
        <f t="shared" si="122"/>
        <v>93.4</v>
      </c>
      <c r="F665">
        <v>17.5</v>
      </c>
      <c r="G665" s="1">
        <v>162</v>
      </c>
      <c r="H665">
        <f t="shared" si="123"/>
        <v>-75.900000000000006</v>
      </c>
      <c r="I665">
        <f t="shared" si="124"/>
        <v>-4.4647058823529413</v>
      </c>
      <c r="J665">
        <f t="shared" si="125"/>
        <v>0</v>
      </c>
      <c r="K665">
        <f t="shared" si="126"/>
        <v>0.94226603101549489</v>
      </c>
      <c r="L665">
        <f t="shared" si="127"/>
        <v>0</v>
      </c>
      <c r="M665" s="4">
        <f t="shared" si="128"/>
        <v>0</v>
      </c>
      <c r="N665">
        <f t="shared" si="129"/>
        <v>0</v>
      </c>
      <c r="O665" cm="1">
        <f t="array" ref="O665:Q665">_xlfn.XLOOKUP(C665, X$2:X$7, AG$2:AI$7)</f>
        <v>57.8</v>
      </c>
      <c r="P665">
        <v>-6.4299999999999996E-2</v>
      </c>
      <c r="Q665">
        <v>0</v>
      </c>
      <c r="R665">
        <f t="shared" si="130"/>
        <v>2.018955721057977E-3</v>
      </c>
      <c r="S665" s="4">
        <f t="shared" si="131"/>
        <v>1</v>
      </c>
      <c r="T665">
        <f t="shared" si="132"/>
        <v>-1</v>
      </c>
      <c r="U665">
        <f t="shared" si="133"/>
        <v>-1</v>
      </c>
    </row>
    <row r="666" spans="1:21">
      <c r="A666" t="s">
        <v>335</v>
      </c>
      <c r="B666" t="s">
        <v>64</v>
      </c>
      <c r="C666" t="s">
        <v>407</v>
      </c>
      <c r="D666" s="1">
        <v>116.9</v>
      </c>
      <c r="E666" s="1">
        <f t="shared" si="122"/>
        <v>93.4</v>
      </c>
      <c r="F666">
        <v>11.3</v>
      </c>
      <c r="G666" s="1">
        <v>176</v>
      </c>
      <c r="H666">
        <f t="shared" si="123"/>
        <v>-82.100000000000009</v>
      </c>
      <c r="I666">
        <f t="shared" si="124"/>
        <v>-4.829411764705883</v>
      </c>
      <c r="J666">
        <f t="shared" si="125"/>
        <v>0</v>
      </c>
      <c r="K666">
        <f t="shared" si="126"/>
        <v>0.94226603101549489</v>
      </c>
      <c r="L666">
        <f t="shared" si="127"/>
        <v>0</v>
      </c>
      <c r="M666" s="4">
        <f t="shared" si="128"/>
        <v>0</v>
      </c>
      <c r="N666">
        <f t="shared" si="129"/>
        <v>0</v>
      </c>
      <c r="O666" cm="1">
        <f t="array" ref="O666:Q666">_xlfn.XLOOKUP(C666, X$2:X$7, AG$2:AI$7)</f>
        <v>57.8</v>
      </c>
      <c r="P666">
        <v>-6.4299999999999996E-2</v>
      </c>
      <c r="Q666">
        <v>0</v>
      </c>
      <c r="R666">
        <f t="shared" si="130"/>
        <v>8.2068198772959784E-4</v>
      </c>
      <c r="S666" s="4">
        <f t="shared" si="131"/>
        <v>1</v>
      </c>
      <c r="T666">
        <f t="shared" si="132"/>
        <v>-1</v>
      </c>
      <c r="U666">
        <f t="shared" si="133"/>
        <v>-1</v>
      </c>
    </row>
    <row r="667" spans="1:21">
      <c r="A667" t="s">
        <v>341</v>
      </c>
      <c r="B667" t="s">
        <v>64</v>
      </c>
      <c r="C667" t="s">
        <v>407</v>
      </c>
      <c r="D667" s="1">
        <v>116.9</v>
      </c>
      <c r="E667" s="1">
        <f t="shared" si="122"/>
        <v>93.4</v>
      </c>
      <c r="F667">
        <v>10.4</v>
      </c>
      <c r="G667" s="1">
        <v>182</v>
      </c>
      <c r="H667">
        <f t="shared" si="123"/>
        <v>-83</v>
      </c>
      <c r="I667">
        <f t="shared" si="124"/>
        <v>-4.882352941176471</v>
      </c>
      <c r="J667">
        <f t="shared" si="125"/>
        <v>0</v>
      </c>
      <c r="K667">
        <f t="shared" si="126"/>
        <v>0.94226603101549489</v>
      </c>
      <c r="L667">
        <f t="shared" si="127"/>
        <v>0</v>
      </c>
      <c r="M667" s="4">
        <f t="shared" si="128"/>
        <v>0</v>
      </c>
      <c r="N667">
        <f t="shared" si="129"/>
        <v>0</v>
      </c>
      <c r="O667" cm="1">
        <f t="array" ref="O667:Q667">_xlfn.XLOOKUP(C667, X$2:X$7, AG$2:AI$7)</f>
        <v>57.8</v>
      </c>
      <c r="P667">
        <v>-6.4299999999999996E-2</v>
      </c>
      <c r="Q667">
        <v>0</v>
      </c>
      <c r="R667">
        <f t="shared" si="130"/>
        <v>5.5798701245881504E-4</v>
      </c>
      <c r="S667" s="4">
        <f t="shared" si="131"/>
        <v>1</v>
      </c>
      <c r="T667">
        <f t="shared" si="132"/>
        <v>-1</v>
      </c>
      <c r="U667">
        <f t="shared" si="133"/>
        <v>-1</v>
      </c>
    </row>
    <row r="668" spans="1:21">
      <c r="A668" t="s">
        <v>357</v>
      </c>
      <c r="B668" t="s">
        <v>64</v>
      </c>
      <c r="C668" t="s">
        <v>407</v>
      </c>
      <c r="D668" s="1">
        <v>116.9</v>
      </c>
      <c r="E668" s="1">
        <f t="shared" si="122"/>
        <v>93.4</v>
      </c>
      <c r="F668">
        <v>8.1999999999999993</v>
      </c>
      <c r="G668" s="1">
        <v>198</v>
      </c>
      <c r="H668">
        <f t="shared" si="123"/>
        <v>-85.2</v>
      </c>
      <c r="I668">
        <f t="shared" si="124"/>
        <v>-5.0117647058823529</v>
      </c>
      <c r="J668">
        <f t="shared" si="125"/>
        <v>0</v>
      </c>
      <c r="K668">
        <f t="shared" si="126"/>
        <v>0.94226603101549489</v>
      </c>
      <c r="L668">
        <f t="shared" si="127"/>
        <v>0</v>
      </c>
      <c r="M668" s="4">
        <f t="shared" si="128"/>
        <v>0</v>
      </c>
      <c r="N668">
        <f t="shared" si="129"/>
        <v>0</v>
      </c>
      <c r="O668" cm="1">
        <f t="array" ref="O668:Q668">_xlfn.XLOOKUP(C668, X$2:X$7, AG$2:AI$7)</f>
        <v>57.8</v>
      </c>
      <c r="P668">
        <v>-6.4299999999999996E-2</v>
      </c>
      <c r="Q668">
        <v>0</v>
      </c>
      <c r="R668">
        <f t="shared" si="130"/>
        <v>1.9944443713697287E-4</v>
      </c>
      <c r="S668" s="4">
        <f t="shared" si="131"/>
        <v>1</v>
      </c>
      <c r="T668">
        <f t="shared" si="132"/>
        <v>-1</v>
      </c>
      <c r="U668">
        <f t="shared" si="133"/>
        <v>-1</v>
      </c>
    </row>
    <row r="669" spans="1:21">
      <c r="A669" t="s">
        <v>111</v>
      </c>
      <c r="B669" t="s">
        <v>84</v>
      </c>
      <c r="C669" t="s">
        <v>159</v>
      </c>
      <c r="D669" s="1">
        <v>228</v>
      </c>
      <c r="E669" s="1">
        <f t="shared" si="122"/>
        <v>190</v>
      </c>
      <c r="F669">
        <v>33.6</v>
      </c>
      <c r="G669" s="1">
        <v>41</v>
      </c>
      <c r="H669">
        <f t="shared" si="123"/>
        <v>-156.4</v>
      </c>
      <c r="I669">
        <f t="shared" si="124"/>
        <v>-9.2000000000000011</v>
      </c>
      <c r="J669">
        <f t="shared" si="125"/>
        <v>0</v>
      </c>
      <c r="K669">
        <f t="shared" si="126"/>
        <v>0.57566309754037293</v>
      </c>
      <c r="L669">
        <f t="shared" si="127"/>
        <v>0</v>
      </c>
      <c r="M669" s="4">
        <f t="shared" si="128"/>
        <v>0</v>
      </c>
      <c r="N669">
        <f t="shared" si="129"/>
        <v>0</v>
      </c>
      <c r="O669" cm="1">
        <f t="array" ref="O669:Q669">_xlfn.XLOOKUP(C669, X$2:X$7, AG$2:AI$7)</f>
        <v>56.4</v>
      </c>
      <c r="P669">
        <v>-0.16300000000000001</v>
      </c>
      <c r="Q669">
        <v>0</v>
      </c>
      <c r="R669">
        <f t="shared" si="130"/>
        <v>8.2406209393259794E-2</v>
      </c>
      <c r="S669" s="4">
        <f t="shared" si="131"/>
        <v>1</v>
      </c>
      <c r="T669">
        <f t="shared" si="132"/>
        <v>-1</v>
      </c>
      <c r="U669">
        <f t="shared" si="133"/>
        <v>-1</v>
      </c>
    </row>
    <row r="670" spans="1:21">
      <c r="A670" t="s">
        <v>494</v>
      </c>
      <c r="B670" t="s">
        <v>84</v>
      </c>
      <c r="C670" t="s">
        <v>586</v>
      </c>
      <c r="D670" s="1">
        <v>107.9</v>
      </c>
      <c r="E670" s="1">
        <f t="shared" si="122"/>
        <v>73</v>
      </c>
      <c r="F670">
        <v>33.200000000000003</v>
      </c>
      <c r="G670" s="1">
        <v>87</v>
      </c>
      <c r="H670">
        <f t="shared" si="123"/>
        <v>-39.799999999999997</v>
      </c>
      <c r="I670">
        <f t="shared" si="124"/>
        <v>-2.341176470588235</v>
      </c>
      <c r="J670">
        <f t="shared" si="125"/>
        <v>0</v>
      </c>
      <c r="K670">
        <f t="shared" si="126"/>
        <v>1.0011070456397422</v>
      </c>
      <c r="L670">
        <f t="shared" si="127"/>
        <v>0</v>
      </c>
      <c r="M670" s="4">
        <f t="shared" si="128"/>
        <v>0</v>
      </c>
      <c r="N670">
        <f t="shared" si="129"/>
        <v>0</v>
      </c>
      <c r="O670" cm="1">
        <f t="array" ref="O670:Q670">_xlfn.XLOOKUP(C670, X$2:X$7, AG$2:AI$7)</f>
        <v>5.0900000000000001E-2</v>
      </c>
      <c r="P670">
        <v>-3.9</v>
      </c>
      <c r="Q670">
        <v>73.900000000000006</v>
      </c>
      <c r="R670">
        <f t="shared" si="130"/>
        <v>139.87907070000003</v>
      </c>
      <c r="S670" s="4">
        <f t="shared" si="131"/>
        <v>1</v>
      </c>
      <c r="T670">
        <f t="shared" si="132"/>
        <v>-1</v>
      </c>
      <c r="U670">
        <f t="shared" si="133"/>
        <v>-1</v>
      </c>
    </row>
    <row r="671" spans="1:21">
      <c r="A671" t="s">
        <v>508</v>
      </c>
      <c r="B671" t="s">
        <v>84</v>
      </c>
      <c r="C671" t="s">
        <v>586</v>
      </c>
      <c r="D671" s="1">
        <v>107.9</v>
      </c>
      <c r="E671" s="1">
        <f t="shared" si="122"/>
        <v>73</v>
      </c>
      <c r="F671">
        <v>27.5</v>
      </c>
      <c r="G671" s="1">
        <v>101</v>
      </c>
      <c r="H671">
        <f t="shared" si="123"/>
        <v>-45.5</v>
      </c>
      <c r="I671">
        <f t="shared" si="124"/>
        <v>-2.6764705882352939</v>
      </c>
      <c r="J671">
        <f t="shared" si="125"/>
        <v>0</v>
      </c>
      <c r="K671">
        <f t="shared" si="126"/>
        <v>1.0011070456397422</v>
      </c>
      <c r="L671">
        <f t="shared" si="127"/>
        <v>0</v>
      </c>
      <c r="M671" s="4">
        <f t="shared" si="128"/>
        <v>0</v>
      </c>
      <c r="N671">
        <f t="shared" si="129"/>
        <v>0</v>
      </c>
      <c r="O671" cm="1">
        <f t="array" ref="O671:Q671">_xlfn.XLOOKUP(C671, X$2:X$7, AG$2:AI$7)</f>
        <v>5.0900000000000001E-2</v>
      </c>
      <c r="P671">
        <v>-3.9</v>
      </c>
      <c r="Q671">
        <v>73.900000000000006</v>
      </c>
      <c r="R671">
        <f t="shared" si="130"/>
        <v>232.50246030000005</v>
      </c>
      <c r="S671" s="4">
        <f t="shared" si="131"/>
        <v>1</v>
      </c>
      <c r="T671">
        <f t="shared" si="132"/>
        <v>-1</v>
      </c>
      <c r="U671">
        <f t="shared" si="133"/>
        <v>-1</v>
      </c>
    </row>
    <row r="672" spans="1:21">
      <c r="A672" t="s">
        <v>513</v>
      </c>
      <c r="B672" t="s">
        <v>84</v>
      </c>
      <c r="C672" t="s">
        <v>586</v>
      </c>
      <c r="D672" s="1">
        <v>107.9</v>
      </c>
      <c r="E672" s="1">
        <f t="shared" si="122"/>
        <v>73</v>
      </c>
      <c r="F672">
        <v>23.8</v>
      </c>
      <c r="G672" s="1">
        <v>106</v>
      </c>
      <c r="H672">
        <f t="shared" si="123"/>
        <v>-49.2</v>
      </c>
      <c r="I672">
        <f t="shared" si="124"/>
        <v>-2.8941176470588239</v>
      </c>
      <c r="J672">
        <f t="shared" si="125"/>
        <v>0</v>
      </c>
      <c r="K672">
        <f t="shared" si="126"/>
        <v>1.0011070456397422</v>
      </c>
      <c r="L672">
        <f t="shared" si="127"/>
        <v>0</v>
      </c>
      <c r="M672" s="4">
        <f t="shared" si="128"/>
        <v>0</v>
      </c>
      <c r="N672">
        <f t="shared" si="129"/>
        <v>0</v>
      </c>
      <c r="O672" cm="1">
        <f t="array" ref="O672:Q672">_xlfn.XLOOKUP(C672, X$2:X$7, AG$2:AI$7)</f>
        <v>5.0900000000000001E-2</v>
      </c>
      <c r="P672">
        <v>-3.9</v>
      </c>
      <c r="Q672">
        <v>73.900000000000006</v>
      </c>
      <c r="R672">
        <f t="shared" si="130"/>
        <v>271.22527080000009</v>
      </c>
      <c r="S672" s="4">
        <f t="shared" si="131"/>
        <v>1</v>
      </c>
      <c r="T672">
        <f t="shared" si="132"/>
        <v>-1</v>
      </c>
      <c r="U672">
        <f t="shared" si="133"/>
        <v>-1</v>
      </c>
    </row>
    <row r="673" spans="1:21">
      <c r="A673" t="s">
        <v>569</v>
      </c>
      <c r="B673" t="s">
        <v>84</v>
      </c>
      <c r="C673" t="s">
        <v>586</v>
      </c>
      <c r="D673" s="1">
        <v>107.9</v>
      </c>
      <c r="E673" s="1">
        <f t="shared" si="122"/>
        <v>73</v>
      </c>
      <c r="F673">
        <v>5.7</v>
      </c>
      <c r="G673" s="1">
        <v>164</v>
      </c>
      <c r="H673">
        <f t="shared" si="123"/>
        <v>-67.3</v>
      </c>
      <c r="I673">
        <f t="shared" si="124"/>
        <v>-3.9588235294117644</v>
      </c>
      <c r="J673">
        <f t="shared" si="125"/>
        <v>0</v>
      </c>
      <c r="K673">
        <f t="shared" si="126"/>
        <v>1.0011070456397422</v>
      </c>
      <c r="L673">
        <f t="shared" si="127"/>
        <v>0</v>
      </c>
      <c r="M673" s="4">
        <f t="shared" si="128"/>
        <v>0</v>
      </c>
      <c r="N673">
        <f t="shared" si="129"/>
        <v>0</v>
      </c>
      <c r="O673" cm="1">
        <f t="array" ref="O673:Q673">_xlfn.XLOOKUP(C673, X$2:X$7, AG$2:AI$7)</f>
        <v>5.0900000000000001E-2</v>
      </c>
      <c r="P673">
        <v>-3.9</v>
      </c>
      <c r="Q673">
        <v>73.900000000000006</v>
      </c>
      <c r="R673">
        <f t="shared" si="130"/>
        <v>937.45856879999997</v>
      </c>
      <c r="S673" s="4">
        <f t="shared" si="131"/>
        <v>1</v>
      </c>
      <c r="T673">
        <f t="shared" si="132"/>
        <v>-1</v>
      </c>
      <c r="U673">
        <f t="shared" si="133"/>
        <v>-1</v>
      </c>
    </row>
    <row r="674" spans="1:21">
      <c r="A674" t="s">
        <v>662</v>
      </c>
      <c r="B674" t="s">
        <v>84</v>
      </c>
      <c r="C674" t="s">
        <v>729</v>
      </c>
      <c r="D674" s="1">
        <v>99</v>
      </c>
      <c r="E674" s="1">
        <f t="shared" si="122"/>
        <v>82.5</v>
      </c>
      <c r="F674">
        <v>22.1</v>
      </c>
      <c r="G674" s="1">
        <v>76</v>
      </c>
      <c r="H674">
        <f t="shared" si="123"/>
        <v>-60.4</v>
      </c>
      <c r="I674">
        <f t="shared" si="124"/>
        <v>-3.552941176470588</v>
      </c>
      <c r="J674">
        <f t="shared" si="125"/>
        <v>0</v>
      </c>
      <c r="K674">
        <f t="shared" si="126"/>
        <v>1.0909252297006058</v>
      </c>
      <c r="L674">
        <f t="shared" si="127"/>
        <v>0</v>
      </c>
      <c r="M674" s="4">
        <f t="shared" si="128"/>
        <v>0</v>
      </c>
      <c r="N674">
        <f t="shared" si="129"/>
        <v>0</v>
      </c>
      <c r="O674" cm="1">
        <f t="array" ref="O674:Q674">_xlfn.XLOOKUP(C674, X$2:X$7, AG$2:AI$7)</f>
        <v>55.4</v>
      </c>
      <c r="P674">
        <v>-0.253</v>
      </c>
      <c r="Q674">
        <v>0</v>
      </c>
      <c r="R674">
        <f t="shared" si="130"/>
        <v>2.883807870263046E-7</v>
      </c>
      <c r="S674" s="4">
        <f t="shared" si="131"/>
        <v>1</v>
      </c>
      <c r="T674">
        <f t="shared" si="132"/>
        <v>-1</v>
      </c>
      <c r="U674">
        <f t="shared" si="133"/>
        <v>-1</v>
      </c>
    </row>
    <row r="675" spans="1:21">
      <c r="A675" t="s">
        <v>664</v>
      </c>
      <c r="B675" t="s">
        <v>84</v>
      </c>
      <c r="C675" t="s">
        <v>729</v>
      </c>
      <c r="D675" s="1">
        <v>99</v>
      </c>
      <c r="E675" s="1">
        <f t="shared" si="122"/>
        <v>82.5</v>
      </c>
      <c r="F675">
        <v>21.9</v>
      </c>
      <c r="G675" s="1">
        <v>78</v>
      </c>
      <c r="H675">
        <f t="shared" si="123"/>
        <v>-60.6</v>
      </c>
      <c r="I675">
        <f t="shared" si="124"/>
        <v>-3.5647058823529414</v>
      </c>
      <c r="J675">
        <f t="shared" si="125"/>
        <v>0</v>
      </c>
      <c r="K675">
        <f t="shared" si="126"/>
        <v>1.0909252297006058</v>
      </c>
      <c r="L675">
        <f t="shared" si="127"/>
        <v>0</v>
      </c>
      <c r="M675" s="4">
        <f t="shared" si="128"/>
        <v>0</v>
      </c>
      <c r="N675">
        <f t="shared" si="129"/>
        <v>0</v>
      </c>
      <c r="O675" cm="1">
        <f t="array" ref="O675:Q675">_xlfn.XLOOKUP(C675, X$2:X$7, AG$2:AI$7)</f>
        <v>55.4</v>
      </c>
      <c r="P675">
        <v>-0.253</v>
      </c>
      <c r="Q675">
        <v>0</v>
      </c>
      <c r="R675">
        <f t="shared" si="130"/>
        <v>1.738654603943034E-7</v>
      </c>
      <c r="S675" s="4">
        <f t="shared" si="131"/>
        <v>1</v>
      </c>
      <c r="T675">
        <f t="shared" si="132"/>
        <v>-1</v>
      </c>
      <c r="U675">
        <f t="shared" si="133"/>
        <v>-1</v>
      </c>
    </row>
    <row r="676" spans="1:21">
      <c r="A676" t="s">
        <v>689</v>
      </c>
      <c r="B676" t="s">
        <v>84</v>
      </c>
      <c r="C676" t="s">
        <v>729</v>
      </c>
      <c r="D676" s="1">
        <v>99</v>
      </c>
      <c r="E676" s="1">
        <f t="shared" si="122"/>
        <v>82.5</v>
      </c>
      <c r="F676">
        <v>13.2</v>
      </c>
      <c r="G676" s="1">
        <v>104</v>
      </c>
      <c r="H676">
        <f t="shared" si="123"/>
        <v>-69.3</v>
      </c>
      <c r="I676">
        <f t="shared" si="124"/>
        <v>-4.0764705882352938</v>
      </c>
      <c r="J676">
        <f t="shared" si="125"/>
        <v>0</v>
      </c>
      <c r="K676">
        <f t="shared" si="126"/>
        <v>1.0909252297006058</v>
      </c>
      <c r="L676">
        <f t="shared" si="127"/>
        <v>0</v>
      </c>
      <c r="M676" s="4">
        <f t="shared" si="128"/>
        <v>0</v>
      </c>
      <c r="N676">
        <f t="shared" si="129"/>
        <v>0</v>
      </c>
      <c r="O676" cm="1">
        <f t="array" ref="O676:Q676">_xlfn.XLOOKUP(C676, X$2:X$7, AG$2:AI$7)</f>
        <v>55.4</v>
      </c>
      <c r="P676">
        <v>-0.253</v>
      </c>
      <c r="Q676">
        <v>0</v>
      </c>
      <c r="R676">
        <f t="shared" si="130"/>
        <v>2.4178213763777363E-10</v>
      </c>
      <c r="S676" s="4">
        <f t="shared" si="131"/>
        <v>1</v>
      </c>
      <c r="T676">
        <f t="shared" si="132"/>
        <v>-1</v>
      </c>
      <c r="U676">
        <f t="shared" si="133"/>
        <v>-1</v>
      </c>
    </row>
    <row r="677" spans="1:21">
      <c r="A677" t="s">
        <v>712</v>
      </c>
      <c r="B677" t="s">
        <v>84</v>
      </c>
      <c r="C677" t="s">
        <v>729</v>
      </c>
      <c r="D677" s="1">
        <v>99</v>
      </c>
      <c r="E677" s="1">
        <f t="shared" si="122"/>
        <v>82.5</v>
      </c>
      <c r="F677">
        <v>6.6</v>
      </c>
      <c r="G677" s="1">
        <v>128</v>
      </c>
      <c r="H677">
        <f t="shared" si="123"/>
        <v>-75.900000000000006</v>
      </c>
      <c r="I677">
        <f t="shared" si="124"/>
        <v>-4.4647058823529413</v>
      </c>
      <c r="J677">
        <f t="shared" si="125"/>
        <v>0</v>
      </c>
      <c r="K677">
        <f t="shared" si="126"/>
        <v>1.0909252297006058</v>
      </c>
      <c r="L677">
        <f t="shared" si="127"/>
        <v>0</v>
      </c>
      <c r="M677" s="4">
        <f t="shared" si="128"/>
        <v>0</v>
      </c>
      <c r="N677">
        <f t="shared" si="129"/>
        <v>0</v>
      </c>
      <c r="O677" cm="1">
        <f t="array" ref="O677:Q677">_xlfn.XLOOKUP(C677, X$2:X$7, AG$2:AI$7)</f>
        <v>55.4</v>
      </c>
      <c r="P677">
        <v>-0.253</v>
      </c>
      <c r="Q677">
        <v>0</v>
      </c>
      <c r="R677">
        <f t="shared" si="130"/>
        <v>5.5768391536802243E-13</v>
      </c>
      <c r="S677" s="4">
        <f t="shared" si="131"/>
        <v>1</v>
      </c>
      <c r="T677">
        <f t="shared" si="132"/>
        <v>-1</v>
      </c>
      <c r="U677">
        <f t="shared" si="133"/>
        <v>-1</v>
      </c>
    </row>
    <row r="678" spans="1:21">
      <c r="A678" t="s">
        <v>273</v>
      </c>
      <c r="B678" t="s">
        <v>84</v>
      </c>
      <c r="C678" t="s">
        <v>407</v>
      </c>
      <c r="D678" s="1">
        <v>116.9</v>
      </c>
      <c r="E678" s="1">
        <f t="shared" si="122"/>
        <v>93.4</v>
      </c>
      <c r="F678">
        <v>46.4</v>
      </c>
      <c r="G678" s="1">
        <v>114</v>
      </c>
      <c r="H678">
        <f t="shared" si="123"/>
        <v>-47.000000000000007</v>
      </c>
      <c r="I678">
        <f t="shared" si="124"/>
        <v>-2.7647058823529416</v>
      </c>
      <c r="J678">
        <f t="shared" si="125"/>
        <v>0</v>
      </c>
      <c r="K678">
        <f t="shared" si="126"/>
        <v>0.94226603101549489</v>
      </c>
      <c r="L678">
        <f t="shared" si="127"/>
        <v>0</v>
      </c>
      <c r="M678" s="4">
        <f t="shared" si="128"/>
        <v>0</v>
      </c>
      <c r="N678">
        <f t="shared" si="129"/>
        <v>0</v>
      </c>
      <c r="O678" cm="1">
        <f t="array" ref="O678:Q678">_xlfn.XLOOKUP(C678, X$2:X$7, AG$2:AI$7)</f>
        <v>57.8</v>
      </c>
      <c r="P678">
        <v>-6.4299999999999996E-2</v>
      </c>
      <c r="Q678">
        <v>0</v>
      </c>
      <c r="R678">
        <f t="shared" si="130"/>
        <v>4.4211299798710045E-2</v>
      </c>
      <c r="S678" s="4">
        <f t="shared" si="131"/>
        <v>1</v>
      </c>
      <c r="T678">
        <f t="shared" si="132"/>
        <v>-1</v>
      </c>
      <c r="U678">
        <f t="shared" si="133"/>
        <v>-1</v>
      </c>
    </row>
    <row r="679" spans="1:21">
      <c r="A679" t="s">
        <v>339</v>
      </c>
      <c r="B679" t="s">
        <v>84</v>
      </c>
      <c r="C679" t="s">
        <v>407</v>
      </c>
      <c r="D679" s="1">
        <v>116.9</v>
      </c>
      <c r="E679" s="1">
        <f t="shared" si="122"/>
        <v>93.4</v>
      </c>
      <c r="F679">
        <v>10.7</v>
      </c>
      <c r="G679" s="1">
        <v>180</v>
      </c>
      <c r="H679">
        <f t="shared" si="123"/>
        <v>-82.7</v>
      </c>
      <c r="I679">
        <f t="shared" si="124"/>
        <v>-4.8647058823529417</v>
      </c>
      <c r="J679">
        <f t="shared" si="125"/>
        <v>0</v>
      </c>
      <c r="K679">
        <f t="shared" si="126"/>
        <v>0.94226603101549489</v>
      </c>
      <c r="L679">
        <f t="shared" si="127"/>
        <v>0</v>
      </c>
      <c r="M679" s="4">
        <f t="shared" si="128"/>
        <v>0</v>
      </c>
      <c r="N679">
        <f t="shared" si="129"/>
        <v>0</v>
      </c>
      <c r="O679" cm="1">
        <f t="array" ref="O679:Q679">_xlfn.XLOOKUP(C679, X$2:X$7, AG$2:AI$7)</f>
        <v>57.8</v>
      </c>
      <c r="P679">
        <v>-6.4299999999999996E-2</v>
      </c>
      <c r="Q679">
        <v>0</v>
      </c>
      <c r="R679">
        <f t="shared" si="130"/>
        <v>6.3456243774027369E-4</v>
      </c>
      <c r="S679" s="4">
        <f t="shared" si="131"/>
        <v>1</v>
      </c>
      <c r="T679">
        <f t="shared" si="132"/>
        <v>-1</v>
      </c>
      <c r="U679">
        <f t="shared" si="133"/>
        <v>-1</v>
      </c>
    </row>
    <row r="680" spans="1:21">
      <c r="A680" t="s">
        <v>350</v>
      </c>
      <c r="B680" t="s">
        <v>84</v>
      </c>
      <c r="C680" t="s">
        <v>407</v>
      </c>
      <c r="D680" s="1">
        <v>116.9</v>
      </c>
      <c r="E680" s="1">
        <f t="shared" si="122"/>
        <v>93.4</v>
      </c>
      <c r="F680">
        <v>8.4</v>
      </c>
      <c r="G680" s="1">
        <v>191</v>
      </c>
      <c r="H680">
        <f t="shared" si="123"/>
        <v>-85</v>
      </c>
      <c r="I680">
        <f t="shared" si="124"/>
        <v>-5</v>
      </c>
      <c r="J680">
        <f t="shared" si="125"/>
        <v>0</v>
      </c>
      <c r="K680">
        <f t="shared" si="126"/>
        <v>0.94226603101549489</v>
      </c>
      <c r="L680">
        <f t="shared" si="127"/>
        <v>0</v>
      </c>
      <c r="M680" s="4">
        <f t="shared" si="128"/>
        <v>0</v>
      </c>
      <c r="N680">
        <f t="shared" si="129"/>
        <v>0</v>
      </c>
      <c r="O680" cm="1">
        <f t="array" ref="O680:Q680">_xlfn.XLOOKUP(C680, X$2:X$7, AG$2:AI$7)</f>
        <v>57.8</v>
      </c>
      <c r="P680">
        <v>-6.4299999999999996E-2</v>
      </c>
      <c r="Q680">
        <v>0</v>
      </c>
      <c r="R680">
        <f t="shared" si="130"/>
        <v>3.1282242176825908E-4</v>
      </c>
      <c r="S680" s="4">
        <f t="shared" si="131"/>
        <v>1</v>
      </c>
      <c r="T680">
        <f t="shared" si="132"/>
        <v>-1</v>
      </c>
      <c r="U680">
        <f t="shared" si="133"/>
        <v>-1</v>
      </c>
    </row>
    <row r="681" spans="1:21">
      <c r="A681" t="s">
        <v>365</v>
      </c>
      <c r="B681" t="s">
        <v>84</v>
      </c>
      <c r="C681" t="s">
        <v>407</v>
      </c>
      <c r="D681" s="1">
        <v>116.9</v>
      </c>
      <c r="E681" s="1">
        <f t="shared" si="122"/>
        <v>93.4</v>
      </c>
      <c r="F681">
        <v>7.9</v>
      </c>
      <c r="G681" s="1">
        <v>206</v>
      </c>
      <c r="H681">
        <f t="shared" si="123"/>
        <v>-85.5</v>
      </c>
      <c r="I681">
        <f t="shared" si="124"/>
        <v>-5.0294117647058822</v>
      </c>
      <c r="J681">
        <f t="shared" si="125"/>
        <v>0</v>
      </c>
      <c r="K681">
        <f t="shared" si="126"/>
        <v>0.94226603101549489</v>
      </c>
      <c r="L681">
        <f t="shared" si="127"/>
        <v>0</v>
      </c>
      <c r="M681" s="4">
        <f t="shared" si="128"/>
        <v>0</v>
      </c>
      <c r="N681">
        <f t="shared" si="129"/>
        <v>0</v>
      </c>
      <c r="O681" cm="1">
        <f t="array" ref="O681:Q681">_xlfn.XLOOKUP(C681, X$2:X$7, AG$2:AI$7)</f>
        <v>57.8</v>
      </c>
      <c r="P681">
        <v>-6.4299999999999996E-2</v>
      </c>
      <c r="Q681">
        <v>0</v>
      </c>
      <c r="R681">
        <f t="shared" si="130"/>
        <v>1.1923969213907179E-4</v>
      </c>
      <c r="S681" s="4">
        <f t="shared" si="131"/>
        <v>1</v>
      </c>
      <c r="T681">
        <f t="shared" si="132"/>
        <v>-1</v>
      </c>
      <c r="U681">
        <f t="shared" si="133"/>
        <v>-1</v>
      </c>
    </row>
    <row r="682" spans="1:21">
      <c r="A682" t="s">
        <v>387</v>
      </c>
      <c r="B682" t="s">
        <v>84</v>
      </c>
      <c r="C682" t="s">
        <v>407</v>
      </c>
      <c r="D682" s="1">
        <v>116.9</v>
      </c>
      <c r="E682" s="1">
        <f t="shared" si="122"/>
        <v>93.4</v>
      </c>
      <c r="F682">
        <v>6.1</v>
      </c>
      <c r="G682" s="1">
        <v>228</v>
      </c>
      <c r="H682">
        <f t="shared" si="123"/>
        <v>-87.300000000000011</v>
      </c>
      <c r="I682">
        <f t="shared" si="124"/>
        <v>-5.1352941176470592</v>
      </c>
      <c r="J682">
        <f t="shared" si="125"/>
        <v>0</v>
      </c>
      <c r="K682">
        <f t="shared" si="126"/>
        <v>0.94226603101549489</v>
      </c>
      <c r="L682">
        <f t="shared" si="127"/>
        <v>0</v>
      </c>
      <c r="M682" s="4">
        <f t="shared" si="128"/>
        <v>0</v>
      </c>
      <c r="N682">
        <f t="shared" si="129"/>
        <v>0</v>
      </c>
      <c r="O682" cm="1">
        <f t="array" ref="O682:Q682">_xlfn.XLOOKUP(C682, X$2:X$7, AG$2:AI$7)</f>
        <v>57.8</v>
      </c>
      <c r="P682">
        <v>-6.4299999999999996E-2</v>
      </c>
      <c r="Q682">
        <v>0</v>
      </c>
      <c r="R682">
        <f t="shared" si="130"/>
        <v>2.897796422808637E-5</v>
      </c>
      <c r="S682" s="4">
        <f t="shared" si="131"/>
        <v>1</v>
      </c>
      <c r="T682">
        <f t="shared" si="132"/>
        <v>-1</v>
      </c>
      <c r="U682">
        <f t="shared" si="133"/>
        <v>-1</v>
      </c>
    </row>
    <row r="683" spans="1:21">
      <c r="A683" t="s">
        <v>756</v>
      </c>
      <c r="B683" t="s">
        <v>100</v>
      </c>
      <c r="C683" t="s">
        <v>764</v>
      </c>
      <c r="D683" s="1">
        <v>124.7</v>
      </c>
      <c r="E683" s="1">
        <f t="shared" si="122"/>
        <v>118.7</v>
      </c>
      <c r="F683">
        <v>110.7</v>
      </c>
      <c r="G683" s="1">
        <v>27</v>
      </c>
      <c r="H683">
        <f t="shared" si="123"/>
        <v>-8</v>
      </c>
      <c r="I683">
        <f t="shared" si="124"/>
        <v>-0.47058823529411764</v>
      </c>
      <c r="J683">
        <f t="shared" si="125"/>
        <v>0</v>
      </c>
      <c r="K683">
        <f t="shared" si="126"/>
        <v>0.70591649737063444</v>
      </c>
      <c r="L683">
        <f t="shared" si="127"/>
        <v>0</v>
      </c>
      <c r="M683" s="4">
        <f t="shared" si="128"/>
        <v>0</v>
      </c>
      <c r="N683">
        <f t="shared" si="129"/>
        <v>0</v>
      </c>
      <c r="O683" cm="1">
        <f t="array" ref="O683:Q683">_xlfn.XLOOKUP(C683, X$2:X$7, AG$2:AI$7)</f>
        <v>3.22</v>
      </c>
      <c r="P683">
        <v>-0.14799999999999999</v>
      </c>
      <c r="Q683">
        <v>0</v>
      </c>
      <c r="R683">
        <f t="shared" si="130"/>
        <v>6.9101261851406443E-2</v>
      </c>
      <c r="S683" s="4">
        <f t="shared" si="131"/>
        <v>1</v>
      </c>
      <c r="T683">
        <f t="shared" si="132"/>
        <v>-1</v>
      </c>
      <c r="U683">
        <f t="shared" si="133"/>
        <v>-1</v>
      </c>
    </row>
    <row r="684" spans="1:21">
      <c r="A684" t="s">
        <v>105</v>
      </c>
      <c r="B684" t="s">
        <v>100</v>
      </c>
      <c r="C684" t="s">
        <v>159</v>
      </c>
      <c r="D684" s="1">
        <v>228</v>
      </c>
      <c r="E684" s="1">
        <f t="shared" si="122"/>
        <v>190</v>
      </c>
      <c r="F684">
        <v>69.8</v>
      </c>
      <c r="G684" s="1">
        <v>35</v>
      </c>
      <c r="H684">
        <f t="shared" si="123"/>
        <v>-120.2</v>
      </c>
      <c r="I684">
        <f t="shared" si="124"/>
        <v>-7.0705882352941174</v>
      </c>
      <c r="J684">
        <f t="shared" si="125"/>
        <v>0</v>
      </c>
      <c r="K684">
        <f t="shared" si="126"/>
        <v>0.57566309754037293</v>
      </c>
      <c r="L684">
        <f t="shared" si="127"/>
        <v>0</v>
      </c>
      <c r="M684" s="4">
        <f t="shared" si="128"/>
        <v>0</v>
      </c>
      <c r="N684">
        <f t="shared" si="129"/>
        <v>0</v>
      </c>
      <c r="O684" cm="1">
        <f t="array" ref="O684:Q684">_xlfn.XLOOKUP(C684, X$2:X$7, AG$2:AI$7)</f>
        <v>56.4</v>
      </c>
      <c r="P684">
        <v>-0.16300000000000001</v>
      </c>
      <c r="Q684">
        <v>0</v>
      </c>
      <c r="R684">
        <f t="shared" si="130"/>
        <v>0.21912904235649766</v>
      </c>
      <c r="S684" s="4">
        <f t="shared" si="131"/>
        <v>1</v>
      </c>
      <c r="T684">
        <f t="shared" si="132"/>
        <v>-1</v>
      </c>
      <c r="U684">
        <f t="shared" si="133"/>
        <v>-1</v>
      </c>
    </row>
    <row r="685" spans="1:21">
      <c r="A685" t="s">
        <v>485</v>
      </c>
      <c r="B685" t="s">
        <v>100</v>
      </c>
      <c r="C685" t="s">
        <v>586</v>
      </c>
      <c r="D685" s="1">
        <v>107.9</v>
      </c>
      <c r="E685" s="1">
        <f t="shared" si="122"/>
        <v>73</v>
      </c>
      <c r="F685">
        <v>43.8</v>
      </c>
      <c r="G685" s="1">
        <v>78</v>
      </c>
      <c r="H685">
        <f t="shared" si="123"/>
        <v>-29.200000000000003</v>
      </c>
      <c r="I685">
        <f t="shared" si="124"/>
        <v>-1.7176470588235295</v>
      </c>
      <c r="J685">
        <f t="shared" si="125"/>
        <v>0</v>
      </c>
      <c r="K685">
        <f t="shared" si="126"/>
        <v>1.0011070456397422</v>
      </c>
      <c r="L685">
        <f t="shared" si="127"/>
        <v>0</v>
      </c>
      <c r="M685" s="4">
        <f t="shared" si="128"/>
        <v>0</v>
      </c>
      <c r="N685">
        <f t="shared" si="129"/>
        <v>0</v>
      </c>
      <c r="O685" cm="1">
        <f t="array" ref="O685:Q685">_xlfn.XLOOKUP(C685, X$2:X$7, AG$2:AI$7)</f>
        <v>5.0900000000000001E-2</v>
      </c>
      <c r="P685">
        <v>-3.9</v>
      </c>
      <c r="Q685">
        <v>73.900000000000006</v>
      </c>
      <c r="R685">
        <f t="shared" si="130"/>
        <v>92.631325200000063</v>
      </c>
      <c r="S685" s="4">
        <f t="shared" si="131"/>
        <v>1</v>
      </c>
      <c r="T685">
        <f t="shared" si="132"/>
        <v>-1</v>
      </c>
      <c r="U685">
        <f t="shared" si="133"/>
        <v>-1</v>
      </c>
    </row>
    <row r="686" spans="1:21">
      <c r="A686" t="s">
        <v>490</v>
      </c>
      <c r="B686" t="s">
        <v>100</v>
      </c>
      <c r="C686" t="s">
        <v>586</v>
      </c>
      <c r="D686" s="1">
        <v>107.9</v>
      </c>
      <c r="E686" s="1">
        <f t="shared" si="122"/>
        <v>73</v>
      </c>
      <c r="F686">
        <v>37.6</v>
      </c>
      <c r="G686" s="1">
        <v>83</v>
      </c>
      <c r="H686">
        <f t="shared" si="123"/>
        <v>-35.4</v>
      </c>
      <c r="I686">
        <f t="shared" si="124"/>
        <v>-2.0823529411764703</v>
      </c>
      <c r="J686">
        <f t="shared" si="125"/>
        <v>0</v>
      </c>
      <c r="K686">
        <f t="shared" si="126"/>
        <v>1.0011070456397422</v>
      </c>
      <c r="L686">
        <f t="shared" si="127"/>
        <v>0</v>
      </c>
      <c r="M686" s="4">
        <f t="shared" si="128"/>
        <v>0</v>
      </c>
      <c r="N686">
        <f t="shared" si="129"/>
        <v>0</v>
      </c>
      <c r="O686" cm="1">
        <f t="array" ref="O686:Q686">_xlfn.XLOOKUP(C686, X$2:X$7, AG$2:AI$7)</f>
        <v>5.0900000000000001E-2</v>
      </c>
      <c r="P686">
        <v>-3.9</v>
      </c>
      <c r="Q686">
        <v>73.900000000000006</v>
      </c>
      <c r="R686">
        <f t="shared" si="130"/>
        <v>117.69206670000004</v>
      </c>
      <c r="S686" s="4">
        <f t="shared" si="131"/>
        <v>1</v>
      </c>
      <c r="T686">
        <f t="shared" si="132"/>
        <v>-1</v>
      </c>
      <c r="U686">
        <f t="shared" si="133"/>
        <v>-1</v>
      </c>
    </row>
    <row r="687" spans="1:21">
      <c r="A687" t="s">
        <v>554</v>
      </c>
      <c r="B687" t="s">
        <v>100</v>
      </c>
      <c r="C687" t="s">
        <v>586</v>
      </c>
      <c r="D687" s="1">
        <v>107.9</v>
      </c>
      <c r="E687" s="1">
        <f t="shared" si="122"/>
        <v>73</v>
      </c>
      <c r="F687">
        <v>9.1</v>
      </c>
      <c r="G687" s="1">
        <v>149</v>
      </c>
      <c r="H687">
        <f t="shared" si="123"/>
        <v>-63.9</v>
      </c>
      <c r="I687">
        <f t="shared" si="124"/>
        <v>-3.7588235294117647</v>
      </c>
      <c r="J687">
        <f t="shared" si="125"/>
        <v>0</v>
      </c>
      <c r="K687">
        <f t="shared" si="126"/>
        <v>1.0011070456397422</v>
      </c>
      <c r="L687">
        <f t="shared" si="127"/>
        <v>0</v>
      </c>
      <c r="M687" s="4">
        <f t="shared" si="128"/>
        <v>0</v>
      </c>
      <c r="N687">
        <f t="shared" si="129"/>
        <v>0</v>
      </c>
      <c r="O687" cm="1">
        <f t="array" ref="O687:Q687">_xlfn.XLOOKUP(C687, X$2:X$7, AG$2:AI$7)</f>
        <v>5.0900000000000001E-2</v>
      </c>
      <c r="P687">
        <v>-3.9</v>
      </c>
      <c r="Q687">
        <v>73.900000000000006</v>
      </c>
      <c r="R687">
        <f t="shared" si="130"/>
        <v>726.8436602999999</v>
      </c>
      <c r="S687" s="4">
        <f t="shared" si="131"/>
        <v>1</v>
      </c>
      <c r="T687">
        <f t="shared" si="132"/>
        <v>-1</v>
      </c>
      <c r="U687">
        <f t="shared" si="133"/>
        <v>-1</v>
      </c>
    </row>
    <row r="688" spans="1:21">
      <c r="A688" t="s">
        <v>658</v>
      </c>
      <c r="B688" t="s">
        <v>100</v>
      </c>
      <c r="C688" t="s">
        <v>729</v>
      </c>
      <c r="D688" s="1">
        <v>99</v>
      </c>
      <c r="E688" s="1">
        <f t="shared" si="122"/>
        <v>82.5</v>
      </c>
      <c r="F688">
        <v>23.4</v>
      </c>
      <c r="G688" s="1">
        <v>72</v>
      </c>
      <c r="H688">
        <f t="shared" si="123"/>
        <v>-59.1</v>
      </c>
      <c r="I688">
        <f t="shared" si="124"/>
        <v>-3.4764705882352942</v>
      </c>
      <c r="J688">
        <f t="shared" si="125"/>
        <v>0</v>
      </c>
      <c r="K688">
        <f t="shared" si="126"/>
        <v>1.0909252297006058</v>
      </c>
      <c r="L688">
        <f t="shared" si="127"/>
        <v>0</v>
      </c>
      <c r="M688" s="4">
        <f t="shared" si="128"/>
        <v>0</v>
      </c>
      <c r="N688">
        <f t="shared" si="129"/>
        <v>0</v>
      </c>
      <c r="O688" cm="1">
        <f t="array" ref="O688:Q688">_xlfn.XLOOKUP(C688, X$2:X$7, AG$2:AI$7)</f>
        <v>55.4</v>
      </c>
      <c r="P688">
        <v>-0.253</v>
      </c>
      <c r="Q688">
        <v>0</v>
      </c>
      <c r="R688">
        <f t="shared" si="130"/>
        <v>7.9336372334733709E-7</v>
      </c>
      <c r="S688" s="4">
        <f t="shared" si="131"/>
        <v>1</v>
      </c>
      <c r="T688">
        <f t="shared" si="132"/>
        <v>-1</v>
      </c>
      <c r="U688">
        <f t="shared" si="133"/>
        <v>-1</v>
      </c>
    </row>
    <row r="689" spans="1:21">
      <c r="A689" t="s">
        <v>667</v>
      </c>
      <c r="B689" t="s">
        <v>100</v>
      </c>
      <c r="C689" t="s">
        <v>729</v>
      </c>
      <c r="D689" s="1">
        <v>99</v>
      </c>
      <c r="E689" s="1">
        <f t="shared" si="122"/>
        <v>82.5</v>
      </c>
      <c r="F689">
        <v>21.1</v>
      </c>
      <c r="G689" s="1">
        <v>81</v>
      </c>
      <c r="H689">
        <f t="shared" si="123"/>
        <v>-61.4</v>
      </c>
      <c r="I689">
        <f t="shared" si="124"/>
        <v>-3.611764705882353</v>
      </c>
      <c r="J689">
        <f t="shared" si="125"/>
        <v>0</v>
      </c>
      <c r="K689">
        <f t="shared" si="126"/>
        <v>1.0909252297006058</v>
      </c>
      <c r="L689">
        <f t="shared" si="127"/>
        <v>0</v>
      </c>
      <c r="M689" s="4">
        <f t="shared" si="128"/>
        <v>0</v>
      </c>
      <c r="N689">
        <f t="shared" si="129"/>
        <v>0</v>
      </c>
      <c r="O689" cm="1">
        <f t="array" ref="O689:Q689">_xlfn.XLOOKUP(C689, X$2:X$7, AG$2:AI$7)</f>
        <v>55.4</v>
      </c>
      <c r="P689">
        <v>-0.253</v>
      </c>
      <c r="Q689">
        <v>0</v>
      </c>
      <c r="R689">
        <f t="shared" si="130"/>
        <v>8.13923903507546E-8</v>
      </c>
      <c r="S689" s="4">
        <f t="shared" si="131"/>
        <v>1</v>
      </c>
      <c r="T689">
        <f t="shared" si="132"/>
        <v>-1</v>
      </c>
      <c r="U689">
        <f t="shared" si="133"/>
        <v>-1</v>
      </c>
    </row>
    <row r="690" spans="1:21">
      <c r="A690" t="s">
        <v>706</v>
      </c>
      <c r="B690" t="s">
        <v>100</v>
      </c>
      <c r="C690" t="s">
        <v>729</v>
      </c>
      <c r="D690" s="1">
        <v>99</v>
      </c>
      <c r="E690" s="1">
        <f t="shared" si="122"/>
        <v>82.5</v>
      </c>
      <c r="F690">
        <v>7.7</v>
      </c>
      <c r="G690" s="1">
        <v>122</v>
      </c>
      <c r="H690">
        <f t="shared" si="123"/>
        <v>-74.8</v>
      </c>
      <c r="I690">
        <f t="shared" si="124"/>
        <v>-4.3999999999999995</v>
      </c>
      <c r="J690">
        <f t="shared" si="125"/>
        <v>0</v>
      </c>
      <c r="K690">
        <f t="shared" si="126"/>
        <v>1.0909252297006058</v>
      </c>
      <c r="L690">
        <f t="shared" si="127"/>
        <v>0</v>
      </c>
      <c r="M690" s="4">
        <f t="shared" si="128"/>
        <v>0</v>
      </c>
      <c r="N690">
        <f t="shared" si="129"/>
        <v>0</v>
      </c>
      <c r="O690" cm="1">
        <f t="array" ref="O690:Q690">_xlfn.XLOOKUP(C690, X$2:X$7, AG$2:AI$7)</f>
        <v>55.4</v>
      </c>
      <c r="P690">
        <v>-0.253</v>
      </c>
      <c r="Q690">
        <v>0</v>
      </c>
      <c r="R690">
        <f t="shared" si="130"/>
        <v>2.5447618321884471E-12</v>
      </c>
      <c r="S690" s="4">
        <f t="shared" si="131"/>
        <v>1</v>
      </c>
      <c r="T690">
        <f t="shared" si="132"/>
        <v>-1</v>
      </c>
      <c r="U690">
        <f t="shared" si="133"/>
        <v>-1</v>
      </c>
    </row>
    <row r="691" spans="1:21">
      <c r="A691" t="s">
        <v>708</v>
      </c>
      <c r="B691" t="s">
        <v>100</v>
      </c>
      <c r="C691" t="s">
        <v>729</v>
      </c>
      <c r="D691" s="1">
        <v>99</v>
      </c>
      <c r="E691" s="1">
        <f t="shared" si="122"/>
        <v>82.5</v>
      </c>
      <c r="F691">
        <v>7.5</v>
      </c>
      <c r="G691" s="1">
        <v>124</v>
      </c>
      <c r="H691">
        <f t="shared" si="123"/>
        <v>-75</v>
      </c>
      <c r="I691">
        <f t="shared" si="124"/>
        <v>-4.4117647058823533</v>
      </c>
      <c r="J691">
        <f t="shared" si="125"/>
        <v>0</v>
      </c>
      <c r="K691">
        <f t="shared" si="126"/>
        <v>1.0909252297006058</v>
      </c>
      <c r="L691">
        <f t="shared" si="127"/>
        <v>0</v>
      </c>
      <c r="M691" s="4">
        <f t="shared" si="128"/>
        <v>0</v>
      </c>
      <c r="N691">
        <f t="shared" si="129"/>
        <v>0</v>
      </c>
      <c r="O691" cm="1">
        <f t="array" ref="O691:Q691">_xlfn.XLOOKUP(C691, X$2:X$7, AG$2:AI$7)</f>
        <v>55.4</v>
      </c>
      <c r="P691">
        <v>-0.253</v>
      </c>
      <c r="Q691">
        <v>0</v>
      </c>
      <c r="R691">
        <f t="shared" si="130"/>
        <v>1.5342429435388767E-12</v>
      </c>
      <c r="S691" s="4">
        <f t="shared" si="131"/>
        <v>1</v>
      </c>
      <c r="T691">
        <f t="shared" si="132"/>
        <v>-1</v>
      </c>
      <c r="U691">
        <f t="shared" si="133"/>
        <v>-1</v>
      </c>
    </row>
    <row r="692" spans="1:21">
      <c r="A692" t="s">
        <v>268</v>
      </c>
      <c r="B692" t="s">
        <v>100</v>
      </c>
      <c r="C692" t="s">
        <v>407</v>
      </c>
      <c r="D692" s="1">
        <v>116.9</v>
      </c>
      <c r="E692" s="1">
        <f t="shared" si="122"/>
        <v>93.4</v>
      </c>
      <c r="F692">
        <v>53.9</v>
      </c>
      <c r="G692" s="1">
        <v>109</v>
      </c>
      <c r="H692">
        <f t="shared" si="123"/>
        <v>-39.500000000000007</v>
      </c>
      <c r="I692">
        <f t="shared" si="124"/>
        <v>-2.3235294117647065</v>
      </c>
      <c r="J692">
        <f t="shared" si="125"/>
        <v>0</v>
      </c>
      <c r="K692">
        <f t="shared" si="126"/>
        <v>0.94226603101549489</v>
      </c>
      <c r="L692">
        <f t="shared" si="127"/>
        <v>0</v>
      </c>
      <c r="M692" s="4">
        <f t="shared" si="128"/>
        <v>0</v>
      </c>
      <c r="N692">
        <f t="shared" si="129"/>
        <v>0</v>
      </c>
      <c r="O692" cm="1">
        <f t="array" ref="O692:Q692">_xlfn.XLOOKUP(C692, X$2:X$7, AG$2:AI$7)</f>
        <v>57.8</v>
      </c>
      <c r="P692">
        <v>-6.4299999999999996E-2</v>
      </c>
      <c r="Q692">
        <v>0</v>
      </c>
      <c r="R692">
        <f t="shared" si="130"/>
        <v>6.0976003892304557E-2</v>
      </c>
      <c r="S692" s="4">
        <f t="shared" si="131"/>
        <v>1</v>
      </c>
      <c r="T692">
        <f t="shared" si="132"/>
        <v>-1</v>
      </c>
      <c r="U692">
        <f t="shared" si="133"/>
        <v>-1</v>
      </c>
    </row>
    <row r="693" spans="1:21">
      <c r="A693" t="s">
        <v>289</v>
      </c>
      <c r="B693" t="s">
        <v>100</v>
      </c>
      <c r="C693" t="s">
        <v>407</v>
      </c>
      <c r="D693" s="1">
        <v>116.9</v>
      </c>
      <c r="E693" s="1">
        <f t="shared" si="122"/>
        <v>93.4</v>
      </c>
      <c r="F693">
        <v>32</v>
      </c>
      <c r="G693" s="1">
        <v>130</v>
      </c>
      <c r="H693">
        <f t="shared" si="123"/>
        <v>-61.400000000000006</v>
      </c>
      <c r="I693">
        <f t="shared" si="124"/>
        <v>-3.6117647058823534</v>
      </c>
      <c r="J693">
        <f t="shared" si="125"/>
        <v>0</v>
      </c>
      <c r="K693">
        <f t="shared" si="126"/>
        <v>0.94226603101549489</v>
      </c>
      <c r="L693">
        <f t="shared" si="127"/>
        <v>0</v>
      </c>
      <c r="M693" s="4">
        <f t="shared" si="128"/>
        <v>0</v>
      </c>
      <c r="N693">
        <f t="shared" si="129"/>
        <v>0</v>
      </c>
      <c r="O693" cm="1">
        <f t="array" ref="O693:Q693">_xlfn.XLOOKUP(C693, X$2:X$7, AG$2:AI$7)</f>
        <v>57.8</v>
      </c>
      <c r="P693">
        <v>-6.4299999999999996E-2</v>
      </c>
      <c r="Q693">
        <v>0</v>
      </c>
      <c r="R693">
        <f t="shared" si="130"/>
        <v>1.5802693622906715E-2</v>
      </c>
      <c r="S693" s="4">
        <f t="shared" si="131"/>
        <v>1</v>
      </c>
      <c r="T693">
        <f t="shared" si="132"/>
        <v>-1</v>
      </c>
      <c r="U693">
        <f t="shared" si="133"/>
        <v>-1</v>
      </c>
    </row>
    <row r="694" spans="1:21">
      <c r="A694" t="s">
        <v>291</v>
      </c>
      <c r="B694" t="s">
        <v>100</v>
      </c>
      <c r="C694" t="s">
        <v>407</v>
      </c>
      <c r="D694" s="1">
        <v>116.9</v>
      </c>
      <c r="E694" s="1">
        <f t="shared" si="122"/>
        <v>93.4</v>
      </c>
      <c r="F694">
        <v>31.4</v>
      </c>
      <c r="G694" s="1">
        <v>132</v>
      </c>
      <c r="H694">
        <f t="shared" si="123"/>
        <v>-62.000000000000007</v>
      </c>
      <c r="I694">
        <f t="shared" si="124"/>
        <v>-3.6470588235294121</v>
      </c>
      <c r="J694">
        <f t="shared" si="125"/>
        <v>0</v>
      </c>
      <c r="K694">
        <f t="shared" si="126"/>
        <v>0.94226603101549489</v>
      </c>
      <c r="L694">
        <f t="shared" si="127"/>
        <v>0</v>
      </c>
      <c r="M694" s="4">
        <f t="shared" si="128"/>
        <v>0</v>
      </c>
      <c r="N694">
        <f t="shared" si="129"/>
        <v>0</v>
      </c>
      <c r="O694" cm="1">
        <f t="array" ref="O694:Q694">_xlfn.XLOOKUP(C694, X$2:X$7, AG$2:AI$7)</f>
        <v>57.8</v>
      </c>
      <c r="P694">
        <v>-6.4299999999999996E-2</v>
      </c>
      <c r="Q694">
        <v>0</v>
      </c>
      <c r="R694">
        <f t="shared" si="130"/>
        <v>1.3895713453900921E-2</v>
      </c>
      <c r="S694" s="4">
        <f t="shared" si="131"/>
        <v>1</v>
      </c>
      <c r="T694">
        <f t="shared" si="132"/>
        <v>-1</v>
      </c>
      <c r="U694">
        <f t="shared" si="133"/>
        <v>-1</v>
      </c>
    </row>
    <row r="695" spans="1:21">
      <c r="A695" t="s">
        <v>330</v>
      </c>
      <c r="B695" t="s">
        <v>100</v>
      </c>
      <c r="C695" t="s">
        <v>407</v>
      </c>
      <c r="D695" s="1">
        <v>116.9</v>
      </c>
      <c r="E695" s="1">
        <f t="shared" si="122"/>
        <v>93.4</v>
      </c>
      <c r="F695">
        <v>12.7</v>
      </c>
      <c r="G695" s="1">
        <v>171</v>
      </c>
      <c r="H695">
        <f t="shared" si="123"/>
        <v>-80.7</v>
      </c>
      <c r="I695">
        <f t="shared" si="124"/>
        <v>-4.7470588235294118</v>
      </c>
      <c r="J695">
        <f t="shared" si="125"/>
        <v>0</v>
      </c>
      <c r="K695">
        <f t="shared" si="126"/>
        <v>0.94226603101549489</v>
      </c>
      <c r="L695">
        <f t="shared" si="127"/>
        <v>0</v>
      </c>
      <c r="M695" s="4">
        <f t="shared" si="128"/>
        <v>0</v>
      </c>
      <c r="N695">
        <f t="shared" si="129"/>
        <v>0</v>
      </c>
      <c r="O695" cm="1">
        <f t="array" ref="O695:Q695">_xlfn.XLOOKUP(C695, X$2:X$7, AG$2:AI$7)</f>
        <v>57.8</v>
      </c>
      <c r="P695">
        <v>-6.4299999999999996E-2</v>
      </c>
      <c r="Q695">
        <v>0</v>
      </c>
      <c r="R695">
        <f t="shared" si="130"/>
        <v>1.1318804990122517E-3</v>
      </c>
      <c r="S695" s="4">
        <f t="shared" si="131"/>
        <v>1</v>
      </c>
      <c r="T695">
        <f t="shared" si="132"/>
        <v>-1</v>
      </c>
      <c r="U695">
        <f t="shared" si="133"/>
        <v>-1</v>
      </c>
    </row>
    <row r="696" spans="1:21">
      <c r="A696" t="s">
        <v>340</v>
      </c>
      <c r="B696" t="s">
        <v>100</v>
      </c>
      <c r="C696" t="s">
        <v>407</v>
      </c>
      <c r="D696" s="1">
        <v>116.9</v>
      </c>
      <c r="E696" s="1">
        <f t="shared" si="122"/>
        <v>93.4</v>
      </c>
      <c r="F696">
        <v>10.4</v>
      </c>
      <c r="G696" s="1">
        <v>181</v>
      </c>
      <c r="H696">
        <f t="shared" si="123"/>
        <v>-83</v>
      </c>
      <c r="I696">
        <f t="shared" si="124"/>
        <v>-4.882352941176471</v>
      </c>
      <c r="J696">
        <f t="shared" si="125"/>
        <v>0</v>
      </c>
      <c r="K696">
        <f t="shared" si="126"/>
        <v>0.94226603101549489</v>
      </c>
      <c r="L696">
        <f t="shared" si="127"/>
        <v>0</v>
      </c>
      <c r="M696" s="4">
        <f t="shared" si="128"/>
        <v>0</v>
      </c>
      <c r="N696">
        <f t="shared" si="129"/>
        <v>0</v>
      </c>
      <c r="O696" cm="1">
        <f t="array" ref="O696:Q696">_xlfn.XLOOKUP(C696, X$2:X$7, AG$2:AI$7)</f>
        <v>57.8</v>
      </c>
      <c r="P696">
        <v>-6.4299999999999996E-2</v>
      </c>
      <c r="Q696">
        <v>0</v>
      </c>
      <c r="R696">
        <f t="shared" si="130"/>
        <v>5.9504419907539493E-4</v>
      </c>
      <c r="S696" s="4">
        <f t="shared" si="131"/>
        <v>1</v>
      </c>
      <c r="T696">
        <f t="shared" si="132"/>
        <v>-1</v>
      </c>
      <c r="U696">
        <f t="shared" si="133"/>
        <v>-1</v>
      </c>
    </row>
    <row r="697" spans="1:21">
      <c r="A697" t="s">
        <v>758</v>
      </c>
      <c r="B697" t="s">
        <v>90</v>
      </c>
      <c r="C697" t="s">
        <v>764</v>
      </c>
      <c r="D697" s="1">
        <v>124.7</v>
      </c>
      <c r="E697" s="1">
        <f t="shared" si="122"/>
        <v>118.7</v>
      </c>
      <c r="F697">
        <v>110.3</v>
      </c>
      <c r="G697" s="1">
        <v>29</v>
      </c>
      <c r="H697">
        <f t="shared" si="123"/>
        <v>-8.4000000000000057</v>
      </c>
      <c r="I697">
        <f t="shared" si="124"/>
        <v>-0.49411764705882388</v>
      </c>
      <c r="J697">
        <f t="shared" si="125"/>
        <v>0</v>
      </c>
      <c r="K697">
        <f t="shared" si="126"/>
        <v>0.70591649737063444</v>
      </c>
      <c r="L697">
        <f t="shared" si="127"/>
        <v>0</v>
      </c>
      <c r="M697" s="4">
        <f t="shared" si="128"/>
        <v>0</v>
      </c>
      <c r="N697">
        <f t="shared" si="129"/>
        <v>0</v>
      </c>
      <c r="O697" cm="1">
        <f t="array" ref="O697:Q697">_xlfn.XLOOKUP(C697, X$2:X$7, AG$2:AI$7)</f>
        <v>3.22</v>
      </c>
      <c r="P697">
        <v>-0.14799999999999999</v>
      </c>
      <c r="Q697">
        <v>0</v>
      </c>
      <c r="R697">
        <f t="shared" si="130"/>
        <v>5.1396649825406558E-2</v>
      </c>
      <c r="S697" s="4">
        <f t="shared" si="131"/>
        <v>1</v>
      </c>
      <c r="T697">
        <f t="shared" si="132"/>
        <v>-1</v>
      </c>
      <c r="U697">
        <f t="shared" si="133"/>
        <v>-1</v>
      </c>
    </row>
    <row r="698" spans="1:21">
      <c r="A698" t="s">
        <v>106</v>
      </c>
      <c r="B698" t="s">
        <v>90</v>
      </c>
      <c r="C698" t="s">
        <v>159</v>
      </c>
      <c r="D698" s="1">
        <v>228</v>
      </c>
      <c r="E698" s="1">
        <f t="shared" si="122"/>
        <v>190</v>
      </c>
      <c r="F698">
        <v>53.9</v>
      </c>
      <c r="G698" s="1">
        <v>36</v>
      </c>
      <c r="H698">
        <f t="shared" si="123"/>
        <v>-136.1</v>
      </c>
      <c r="I698">
        <f t="shared" si="124"/>
        <v>-8.0058823529411764</v>
      </c>
      <c r="J698">
        <f t="shared" si="125"/>
        <v>0</v>
      </c>
      <c r="K698">
        <f t="shared" si="126"/>
        <v>0.57566309754037293</v>
      </c>
      <c r="L698">
        <f t="shared" si="127"/>
        <v>0</v>
      </c>
      <c r="M698" s="4">
        <f t="shared" si="128"/>
        <v>0</v>
      </c>
      <c r="N698">
        <f t="shared" si="129"/>
        <v>0</v>
      </c>
      <c r="O698" cm="1">
        <f t="array" ref="O698:Q698">_xlfn.XLOOKUP(C698, X$2:X$7, AG$2:AI$7)</f>
        <v>56.4</v>
      </c>
      <c r="P698">
        <v>-0.16300000000000001</v>
      </c>
      <c r="Q698">
        <v>0</v>
      </c>
      <c r="R698">
        <f t="shared" si="130"/>
        <v>0.18617010351180788</v>
      </c>
      <c r="S698" s="4">
        <f t="shared" si="131"/>
        <v>1</v>
      </c>
      <c r="T698">
        <f t="shared" si="132"/>
        <v>-1</v>
      </c>
      <c r="U698">
        <f t="shared" si="133"/>
        <v>-1</v>
      </c>
    </row>
    <row r="699" spans="1:21">
      <c r="A699" t="s">
        <v>142</v>
      </c>
      <c r="B699" t="s">
        <v>90</v>
      </c>
      <c r="C699" t="s">
        <v>159</v>
      </c>
      <c r="D699" s="1">
        <v>228</v>
      </c>
      <c r="E699" s="1">
        <f t="shared" si="122"/>
        <v>190</v>
      </c>
      <c r="F699">
        <v>12.3</v>
      </c>
      <c r="G699" s="1">
        <v>72</v>
      </c>
      <c r="H699">
        <f t="shared" si="123"/>
        <v>-177.7</v>
      </c>
      <c r="I699">
        <f t="shared" si="124"/>
        <v>-10.452941176470588</v>
      </c>
      <c r="J699">
        <f t="shared" si="125"/>
        <v>0</v>
      </c>
      <c r="K699">
        <f t="shared" si="126"/>
        <v>0.57566309754037293</v>
      </c>
      <c r="L699">
        <f t="shared" si="127"/>
        <v>0</v>
      </c>
      <c r="M699" s="4">
        <f t="shared" si="128"/>
        <v>0</v>
      </c>
      <c r="N699">
        <f t="shared" si="129"/>
        <v>0</v>
      </c>
      <c r="O699" cm="1">
        <f t="array" ref="O699:Q699">_xlfn.XLOOKUP(C699, X$2:X$7, AG$2:AI$7)</f>
        <v>56.4</v>
      </c>
      <c r="P699">
        <v>-0.16300000000000001</v>
      </c>
      <c r="Q699">
        <v>0</v>
      </c>
      <c r="R699">
        <f t="shared" si="130"/>
        <v>5.2658674180625087E-4</v>
      </c>
      <c r="S699" s="4">
        <f t="shared" si="131"/>
        <v>1</v>
      </c>
      <c r="T699">
        <f t="shared" si="132"/>
        <v>-1</v>
      </c>
      <c r="U699">
        <f t="shared" si="133"/>
        <v>-1</v>
      </c>
    </row>
    <row r="700" spans="1:21">
      <c r="A700" t="s">
        <v>500</v>
      </c>
      <c r="B700" t="s">
        <v>90</v>
      </c>
      <c r="C700" t="s">
        <v>586</v>
      </c>
      <c r="D700" s="1">
        <v>107.9</v>
      </c>
      <c r="E700" s="1">
        <f t="shared" si="122"/>
        <v>73</v>
      </c>
      <c r="F700">
        <v>31.1</v>
      </c>
      <c r="G700" s="1">
        <v>93</v>
      </c>
      <c r="H700">
        <f t="shared" si="123"/>
        <v>-41.9</v>
      </c>
      <c r="I700">
        <f t="shared" si="124"/>
        <v>-2.4647058823529413</v>
      </c>
      <c r="J700">
        <f t="shared" si="125"/>
        <v>0</v>
      </c>
      <c r="K700">
        <f t="shared" si="126"/>
        <v>1.0011070456397422</v>
      </c>
      <c r="L700">
        <f t="shared" si="127"/>
        <v>0</v>
      </c>
      <c r="M700" s="4">
        <f t="shared" si="128"/>
        <v>0</v>
      </c>
      <c r="N700">
        <f t="shared" si="129"/>
        <v>0</v>
      </c>
      <c r="O700" cm="1">
        <f t="array" ref="O700:Q700">_xlfn.XLOOKUP(C700, X$2:X$7, AG$2:AI$7)</f>
        <v>5.0900000000000001E-2</v>
      </c>
      <c r="P700">
        <v>-3.9</v>
      </c>
      <c r="Q700">
        <v>73.900000000000006</v>
      </c>
      <c r="R700">
        <f t="shared" si="130"/>
        <v>176.72359470000004</v>
      </c>
      <c r="S700" s="4">
        <f t="shared" si="131"/>
        <v>1</v>
      </c>
      <c r="T700">
        <f t="shared" si="132"/>
        <v>-1</v>
      </c>
      <c r="U700">
        <f t="shared" si="133"/>
        <v>-1</v>
      </c>
    </row>
    <row r="701" spans="1:21">
      <c r="A701" t="s">
        <v>545</v>
      </c>
      <c r="B701" t="s">
        <v>90</v>
      </c>
      <c r="C701" t="s">
        <v>586</v>
      </c>
      <c r="D701" s="1">
        <v>107.9</v>
      </c>
      <c r="E701" s="1">
        <f t="shared" si="122"/>
        <v>73</v>
      </c>
      <c r="F701">
        <v>13</v>
      </c>
      <c r="G701" s="1">
        <v>140</v>
      </c>
      <c r="H701">
        <f t="shared" si="123"/>
        <v>-60</v>
      </c>
      <c r="I701">
        <f t="shared" si="124"/>
        <v>-3.5294117647058822</v>
      </c>
      <c r="J701">
        <f t="shared" si="125"/>
        <v>0</v>
      </c>
      <c r="K701">
        <f t="shared" si="126"/>
        <v>1.0011070456397422</v>
      </c>
      <c r="L701">
        <f t="shared" si="127"/>
        <v>0</v>
      </c>
      <c r="M701" s="4">
        <f t="shared" si="128"/>
        <v>0</v>
      </c>
      <c r="N701">
        <f t="shared" si="129"/>
        <v>0</v>
      </c>
      <c r="O701" cm="1">
        <f t="array" ref="O701:Q701">_xlfn.XLOOKUP(C701, X$2:X$7, AG$2:AI$7)</f>
        <v>5.0900000000000001E-2</v>
      </c>
      <c r="P701">
        <v>-3.9</v>
      </c>
      <c r="Q701">
        <v>73.900000000000006</v>
      </c>
      <c r="R701">
        <f t="shared" si="130"/>
        <v>613.30517999999995</v>
      </c>
      <c r="S701" s="4">
        <f t="shared" si="131"/>
        <v>1</v>
      </c>
      <c r="T701">
        <f t="shared" si="132"/>
        <v>-1</v>
      </c>
      <c r="U701">
        <f t="shared" si="133"/>
        <v>-1</v>
      </c>
    </row>
    <row r="702" spans="1:21">
      <c r="A702" t="s">
        <v>547</v>
      </c>
      <c r="B702" t="s">
        <v>90</v>
      </c>
      <c r="C702" t="s">
        <v>586</v>
      </c>
      <c r="D702" s="1">
        <v>107.9</v>
      </c>
      <c r="E702" s="1">
        <f t="shared" si="122"/>
        <v>73</v>
      </c>
      <c r="F702">
        <v>11</v>
      </c>
      <c r="G702" s="1">
        <v>142</v>
      </c>
      <c r="H702">
        <f t="shared" si="123"/>
        <v>-62</v>
      </c>
      <c r="I702">
        <f t="shared" si="124"/>
        <v>-3.6470588235294117</v>
      </c>
      <c r="J702">
        <f t="shared" si="125"/>
        <v>0</v>
      </c>
      <c r="K702">
        <f t="shared" si="126"/>
        <v>1.0011070456397422</v>
      </c>
      <c r="L702">
        <f t="shared" si="127"/>
        <v>0</v>
      </c>
      <c r="M702" s="4">
        <f t="shared" si="128"/>
        <v>0</v>
      </c>
      <c r="N702">
        <f t="shared" si="129"/>
        <v>0</v>
      </c>
      <c r="O702" cm="1">
        <f t="array" ref="O702:Q702">_xlfn.XLOOKUP(C702, X$2:X$7, AG$2:AI$7)</f>
        <v>5.0900000000000001E-2</v>
      </c>
      <c r="P702">
        <v>-3.9</v>
      </c>
      <c r="Q702">
        <v>73.900000000000006</v>
      </c>
      <c r="R702">
        <f t="shared" si="130"/>
        <v>637.70434920000014</v>
      </c>
      <c r="S702" s="4">
        <f t="shared" si="131"/>
        <v>1</v>
      </c>
      <c r="T702">
        <f t="shared" si="132"/>
        <v>-1</v>
      </c>
      <c r="U702">
        <f t="shared" si="133"/>
        <v>-1</v>
      </c>
    </row>
    <row r="703" spans="1:21">
      <c r="A703" t="s">
        <v>673</v>
      </c>
      <c r="B703" t="s">
        <v>90</v>
      </c>
      <c r="C703" t="s">
        <v>729</v>
      </c>
      <c r="D703" s="1">
        <v>99</v>
      </c>
      <c r="E703" s="1">
        <f t="shared" si="122"/>
        <v>82.5</v>
      </c>
      <c r="F703">
        <v>19.2</v>
      </c>
      <c r="G703" s="1">
        <v>87</v>
      </c>
      <c r="H703">
        <f t="shared" si="123"/>
        <v>-63.3</v>
      </c>
      <c r="I703">
        <f t="shared" si="124"/>
        <v>-3.7235294117647055</v>
      </c>
      <c r="J703">
        <f t="shared" si="125"/>
        <v>0</v>
      </c>
      <c r="K703">
        <f t="shared" si="126"/>
        <v>1.0909252297006058</v>
      </c>
      <c r="L703">
        <f t="shared" si="127"/>
        <v>0</v>
      </c>
      <c r="M703" s="4">
        <f t="shared" si="128"/>
        <v>0</v>
      </c>
      <c r="N703">
        <f t="shared" si="129"/>
        <v>0</v>
      </c>
      <c r="O703" cm="1">
        <f t="array" ref="O703:Q703">_xlfn.XLOOKUP(C703, X$2:X$7, AG$2:AI$7)</f>
        <v>55.4</v>
      </c>
      <c r="P703">
        <v>-0.253</v>
      </c>
      <c r="Q703">
        <v>0</v>
      </c>
      <c r="R703">
        <f t="shared" si="130"/>
        <v>1.7837121870432833E-8</v>
      </c>
      <c r="S703" s="4">
        <f t="shared" si="131"/>
        <v>1</v>
      </c>
      <c r="T703">
        <f t="shared" si="132"/>
        <v>-1</v>
      </c>
      <c r="U703">
        <f t="shared" si="133"/>
        <v>-1</v>
      </c>
    </row>
    <row r="704" spans="1:21">
      <c r="A704" t="s">
        <v>683</v>
      </c>
      <c r="B704" t="s">
        <v>90</v>
      </c>
      <c r="C704" t="s">
        <v>729</v>
      </c>
      <c r="D704" s="1">
        <v>99</v>
      </c>
      <c r="E704" s="1">
        <f t="shared" si="122"/>
        <v>82.5</v>
      </c>
      <c r="F704">
        <v>14.7</v>
      </c>
      <c r="G704" s="1">
        <v>98</v>
      </c>
      <c r="H704">
        <f t="shared" si="123"/>
        <v>-67.8</v>
      </c>
      <c r="I704">
        <f t="shared" si="124"/>
        <v>-3.9882352941176471</v>
      </c>
      <c r="J704">
        <f t="shared" si="125"/>
        <v>0</v>
      </c>
      <c r="K704">
        <f t="shared" si="126"/>
        <v>1.0909252297006058</v>
      </c>
      <c r="L704">
        <f t="shared" si="127"/>
        <v>0</v>
      </c>
      <c r="M704" s="4">
        <f t="shared" si="128"/>
        <v>0</v>
      </c>
      <c r="N704">
        <f t="shared" si="129"/>
        <v>0</v>
      </c>
      <c r="O704" cm="1">
        <f t="array" ref="O704:Q704">_xlfn.XLOOKUP(C704, X$2:X$7, AG$2:AI$7)</f>
        <v>55.4</v>
      </c>
      <c r="P704">
        <v>-0.253</v>
      </c>
      <c r="Q704">
        <v>0</v>
      </c>
      <c r="R704">
        <f t="shared" si="130"/>
        <v>1.1032736261713961E-9</v>
      </c>
      <c r="S704" s="4">
        <f t="shared" si="131"/>
        <v>1</v>
      </c>
      <c r="T704">
        <f t="shared" si="132"/>
        <v>-1</v>
      </c>
      <c r="U704">
        <f t="shared" si="133"/>
        <v>-1</v>
      </c>
    </row>
    <row r="705" spans="1:21">
      <c r="A705" t="s">
        <v>703</v>
      </c>
      <c r="B705" t="s">
        <v>90</v>
      </c>
      <c r="C705" t="s">
        <v>729</v>
      </c>
      <c r="D705" s="1">
        <v>99</v>
      </c>
      <c r="E705" s="1">
        <f t="shared" si="122"/>
        <v>82.5</v>
      </c>
      <c r="F705">
        <v>9.4</v>
      </c>
      <c r="G705" s="1">
        <v>119</v>
      </c>
      <c r="H705">
        <f t="shared" si="123"/>
        <v>-73.099999999999994</v>
      </c>
      <c r="I705">
        <f t="shared" si="124"/>
        <v>-4.3</v>
      </c>
      <c r="J705">
        <f t="shared" si="125"/>
        <v>0</v>
      </c>
      <c r="K705">
        <f t="shared" si="126"/>
        <v>1.0909252297006058</v>
      </c>
      <c r="L705">
        <f t="shared" si="127"/>
        <v>0</v>
      </c>
      <c r="M705" s="4">
        <f t="shared" si="128"/>
        <v>0</v>
      </c>
      <c r="N705">
        <f t="shared" si="129"/>
        <v>0</v>
      </c>
      <c r="O705" cm="1">
        <f t="array" ref="O705:Q705">_xlfn.XLOOKUP(C705, X$2:X$7, AG$2:AI$7)</f>
        <v>55.4</v>
      </c>
      <c r="P705">
        <v>-0.253</v>
      </c>
      <c r="Q705">
        <v>0</v>
      </c>
      <c r="R705">
        <f t="shared" si="130"/>
        <v>5.4359650286790601E-12</v>
      </c>
      <c r="S705" s="4">
        <f t="shared" si="131"/>
        <v>1</v>
      </c>
      <c r="T705">
        <f t="shared" si="132"/>
        <v>-1</v>
      </c>
      <c r="U705">
        <f t="shared" si="133"/>
        <v>-1</v>
      </c>
    </row>
    <row r="706" spans="1:21">
      <c r="A706" t="s">
        <v>253</v>
      </c>
      <c r="B706" t="s">
        <v>90</v>
      </c>
      <c r="C706" t="s">
        <v>407</v>
      </c>
      <c r="D706" s="1">
        <v>116.9</v>
      </c>
      <c r="E706" s="1">
        <f t="shared" ref="E706:E726" si="134">IF(C706=X$2, AE$2, IF(C706 = X$3, AE$3, IF(C706 = X$4, AE$4, IF(C706 = X$5, AE$5, IF(C706=X$6, AE$6, IF(C706=X$7, AE$7, ""))))))</f>
        <v>93.4</v>
      </c>
      <c r="F706">
        <v>67.8</v>
      </c>
      <c r="G706" s="1">
        <v>94</v>
      </c>
      <c r="H706">
        <f t="shared" ref="H706:H726" si="135">F706-E706</f>
        <v>-25.600000000000009</v>
      </c>
      <c r="I706">
        <f t="shared" ref="I706:I769" si="136">H706/17</f>
        <v>-1.5058823529411769</v>
      </c>
      <c r="J706">
        <f t="shared" ref="J706:J769" si="137">IF(1+I706/AK$2&lt;0, 0,(1+I706/AK$2))</f>
        <v>0</v>
      </c>
      <c r="K706">
        <f t="shared" ref="K706:K726" si="138">IF(C706=X$2, AB$2, IF(C706 = X$3, AB$3, IF(C706 = X$4, AB$4, IF(C706 = X$5, AB$5, IF(C706=X$6, AB$6, IF(C706=X$7, AB$7, ""))))))</f>
        <v>0.94226603101549489</v>
      </c>
      <c r="L706">
        <f t="shared" ref="L706:L769" si="139">M706/AN$21*AN$12</f>
        <v>0</v>
      </c>
      <c r="M706" s="4">
        <f t="shared" ref="M706:M726" si="140">J706*K706</f>
        <v>0</v>
      </c>
      <c r="N706">
        <f t="shared" ref="N706:N769" si="141">M706*1.25</f>
        <v>0</v>
      </c>
      <c r="O706" cm="1">
        <f t="array" ref="O706:Q706">_xlfn.XLOOKUP(C706, X$2:X$7, AG$2:AI$7)</f>
        <v>57.8</v>
      </c>
      <c r="P706">
        <v>-6.4299999999999996E-2</v>
      </c>
      <c r="Q706">
        <v>0</v>
      </c>
      <c r="R706">
        <f t="shared" ref="R706:R769" si="142">IF(Q706=0,1.167*O706*EXP(P706*G706),1.167*(O706*G706^2+P706*G706+Q706))</f>
        <v>0.15996905782928655</v>
      </c>
      <c r="S706" s="4">
        <f t="shared" ref="S706:S769" si="143">IF(OR(H706&lt;0, R706&lt;1), 1, R706)</f>
        <v>1</v>
      </c>
      <c r="T706">
        <f t="shared" ref="T706:T769" si="144">M706-S706</f>
        <v>-1</v>
      </c>
      <c r="U706">
        <f t="shared" ref="U706:U726" si="145">N706-S706</f>
        <v>-1</v>
      </c>
    </row>
    <row r="707" spans="1:21">
      <c r="A707" t="s">
        <v>286</v>
      </c>
      <c r="B707" t="s">
        <v>90</v>
      </c>
      <c r="C707" t="s">
        <v>407</v>
      </c>
      <c r="D707" s="1">
        <v>116.9</v>
      </c>
      <c r="E707" s="1">
        <f t="shared" si="134"/>
        <v>93.4</v>
      </c>
      <c r="F707">
        <v>32.6</v>
      </c>
      <c r="G707" s="1">
        <v>127</v>
      </c>
      <c r="H707">
        <f t="shared" si="135"/>
        <v>-60.800000000000004</v>
      </c>
      <c r="I707">
        <f t="shared" si="136"/>
        <v>-3.5764705882352943</v>
      </c>
      <c r="J707">
        <f t="shared" si="137"/>
        <v>0</v>
      </c>
      <c r="K707">
        <f t="shared" si="138"/>
        <v>0.94226603101549489</v>
      </c>
      <c r="L707">
        <f t="shared" si="139"/>
        <v>0</v>
      </c>
      <c r="M707" s="4">
        <f t="shared" si="140"/>
        <v>0</v>
      </c>
      <c r="N707">
        <f t="shared" si="141"/>
        <v>0</v>
      </c>
      <c r="O707" cm="1">
        <f t="array" ref="O707:Q707">_xlfn.XLOOKUP(C707, X$2:X$7, AG$2:AI$7)</f>
        <v>57.8</v>
      </c>
      <c r="P707">
        <v>-6.4299999999999996E-2</v>
      </c>
      <c r="Q707">
        <v>0</v>
      </c>
      <c r="R707">
        <f t="shared" si="142"/>
        <v>1.9164898600790101E-2</v>
      </c>
      <c r="S707" s="4">
        <f t="shared" si="143"/>
        <v>1</v>
      </c>
      <c r="T707">
        <f t="shared" si="144"/>
        <v>-1</v>
      </c>
      <c r="U707">
        <f t="shared" si="145"/>
        <v>-1</v>
      </c>
    </row>
    <row r="708" spans="1:21">
      <c r="A708" t="s">
        <v>295</v>
      </c>
      <c r="B708" t="s">
        <v>90</v>
      </c>
      <c r="C708" t="s">
        <v>407</v>
      </c>
      <c r="D708" s="1">
        <v>116.9</v>
      </c>
      <c r="E708" s="1">
        <f t="shared" si="134"/>
        <v>93.4</v>
      </c>
      <c r="F708">
        <v>29.2</v>
      </c>
      <c r="G708" s="1">
        <v>136</v>
      </c>
      <c r="H708">
        <f t="shared" si="135"/>
        <v>-64.2</v>
      </c>
      <c r="I708">
        <f t="shared" si="136"/>
        <v>-3.7764705882352945</v>
      </c>
      <c r="J708">
        <f t="shared" si="137"/>
        <v>0</v>
      </c>
      <c r="K708">
        <f t="shared" si="138"/>
        <v>0.94226603101549489</v>
      </c>
      <c r="L708">
        <f t="shared" si="139"/>
        <v>0</v>
      </c>
      <c r="M708" s="4">
        <f t="shared" si="140"/>
        <v>0</v>
      </c>
      <c r="N708">
        <f t="shared" si="141"/>
        <v>0</v>
      </c>
      <c r="O708" cm="1">
        <f t="array" ref="O708:Q708">_xlfn.XLOOKUP(C708, X$2:X$7, AG$2:AI$7)</f>
        <v>57.8</v>
      </c>
      <c r="P708">
        <v>-6.4299999999999996E-2</v>
      </c>
      <c r="Q708">
        <v>0</v>
      </c>
      <c r="R708">
        <f t="shared" si="142"/>
        <v>1.0744354007137032E-2</v>
      </c>
      <c r="S708" s="4">
        <f t="shared" si="143"/>
        <v>1</v>
      </c>
      <c r="T708">
        <f t="shared" si="144"/>
        <v>-1</v>
      </c>
      <c r="U708">
        <f t="shared" si="145"/>
        <v>-1</v>
      </c>
    </row>
    <row r="709" spans="1:21">
      <c r="A709" t="s">
        <v>382</v>
      </c>
      <c r="B709" t="s">
        <v>90</v>
      </c>
      <c r="C709" t="s">
        <v>407</v>
      </c>
      <c r="D709" s="1">
        <v>116.9</v>
      </c>
      <c r="E709" s="1">
        <f t="shared" si="134"/>
        <v>93.4</v>
      </c>
      <c r="F709">
        <v>6.4</v>
      </c>
      <c r="G709" s="1">
        <v>223</v>
      </c>
      <c r="H709">
        <f t="shared" si="135"/>
        <v>-87</v>
      </c>
      <c r="I709">
        <f t="shared" si="136"/>
        <v>-5.117647058823529</v>
      </c>
      <c r="J709">
        <f t="shared" si="137"/>
        <v>0</v>
      </c>
      <c r="K709">
        <f t="shared" si="138"/>
        <v>0.94226603101549489</v>
      </c>
      <c r="L709">
        <f t="shared" si="139"/>
        <v>0</v>
      </c>
      <c r="M709" s="4">
        <f t="shared" si="140"/>
        <v>0</v>
      </c>
      <c r="N709">
        <f t="shared" si="141"/>
        <v>0</v>
      </c>
      <c r="O709" cm="1">
        <f t="array" ref="O709:Q709">_xlfn.XLOOKUP(C709, X$2:X$7, AG$2:AI$7)</f>
        <v>57.8</v>
      </c>
      <c r="P709">
        <v>-6.4299999999999996E-2</v>
      </c>
      <c r="Q709">
        <v>0</v>
      </c>
      <c r="R709">
        <f t="shared" si="142"/>
        <v>3.9966263548180312E-5</v>
      </c>
      <c r="S709" s="4">
        <f t="shared" si="143"/>
        <v>1</v>
      </c>
      <c r="T709">
        <f t="shared" si="144"/>
        <v>-1</v>
      </c>
      <c r="U709">
        <f t="shared" si="145"/>
        <v>-1</v>
      </c>
    </row>
    <row r="710" spans="1:21">
      <c r="A710" t="s">
        <v>396</v>
      </c>
      <c r="B710" t="s">
        <v>90</v>
      </c>
      <c r="C710" t="s">
        <v>407</v>
      </c>
      <c r="D710" s="1">
        <v>116.9</v>
      </c>
      <c r="E710" s="1">
        <f t="shared" si="134"/>
        <v>93.4</v>
      </c>
      <c r="F710">
        <v>4.5</v>
      </c>
      <c r="G710" s="1">
        <v>237</v>
      </c>
      <c r="H710">
        <f t="shared" si="135"/>
        <v>-88.9</v>
      </c>
      <c r="I710">
        <f t="shared" si="136"/>
        <v>-5.2294117647058824</v>
      </c>
      <c r="J710">
        <f t="shared" si="137"/>
        <v>0</v>
      </c>
      <c r="K710">
        <f t="shared" si="138"/>
        <v>0.94226603101549489</v>
      </c>
      <c r="L710">
        <f t="shared" si="139"/>
        <v>0</v>
      </c>
      <c r="M710" s="4">
        <f t="shared" si="140"/>
        <v>0</v>
      </c>
      <c r="N710">
        <f t="shared" si="141"/>
        <v>0</v>
      </c>
      <c r="O710" cm="1">
        <f t="array" ref="O710:Q710">_xlfn.XLOOKUP(C710, X$2:X$7, AG$2:AI$7)</f>
        <v>57.8</v>
      </c>
      <c r="P710">
        <v>-6.4299999999999996E-2</v>
      </c>
      <c r="Q710">
        <v>0</v>
      </c>
      <c r="R710">
        <f t="shared" si="142"/>
        <v>1.6245820682812142E-5</v>
      </c>
      <c r="S710" s="4">
        <f t="shared" si="143"/>
        <v>1</v>
      </c>
      <c r="T710">
        <f t="shared" si="144"/>
        <v>-1</v>
      </c>
      <c r="U710">
        <f t="shared" si="145"/>
        <v>-1</v>
      </c>
    </row>
    <row r="711" spans="1:21">
      <c r="A711" t="s">
        <v>400</v>
      </c>
      <c r="B711" t="s">
        <v>90</v>
      </c>
      <c r="C711" t="s">
        <v>407</v>
      </c>
      <c r="D711" s="1">
        <v>116.9</v>
      </c>
      <c r="E711" s="1">
        <f t="shared" si="134"/>
        <v>93.4</v>
      </c>
      <c r="F711">
        <v>1.2</v>
      </c>
      <c r="G711" s="1">
        <v>241</v>
      </c>
      <c r="H711">
        <f t="shared" si="135"/>
        <v>-92.2</v>
      </c>
      <c r="I711">
        <f t="shared" si="136"/>
        <v>-5.4235294117647062</v>
      </c>
      <c r="J711">
        <f t="shared" si="137"/>
        <v>0</v>
      </c>
      <c r="K711">
        <f t="shared" si="138"/>
        <v>0.94226603101549489</v>
      </c>
      <c r="L711">
        <f t="shared" si="139"/>
        <v>0</v>
      </c>
      <c r="M711" s="4">
        <f t="shared" si="140"/>
        <v>0</v>
      </c>
      <c r="N711">
        <f t="shared" si="141"/>
        <v>0</v>
      </c>
      <c r="O711" cm="1">
        <f t="array" ref="O711:Q711">_xlfn.XLOOKUP(C711, X$2:X$7, AG$2:AI$7)</f>
        <v>57.8</v>
      </c>
      <c r="P711">
        <v>-6.4299999999999996E-2</v>
      </c>
      <c r="Q711">
        <v>0</v>
      </c>
      <c r="R711">
        <f t="shared" si="142"/>
        <v>1.2561488773618954E-5</v>
      </c>
      <c r="S711" s="4">
        <f t="shared" si="143"/>
        <v>1</v>
      </c>
      <c r="T711">
        <f t="shared" si="144"/>
        <v>-1</v>
      </c>
      <c r="U711">
        <f t="shared" si="145"/>
        <v>-1</v>
      </c>
    </row>
    <row r="712" spans="1:21">
      <c r="A712" t="s">
        <v>763</v>
      </c>
      <c r="B712" t="s">
        <v>96</v>
      </c>
      <c r="C712" t="s">
        <v>764</v>
      </c>
      <c r="D712" s="1">
        <v>124.7</v>
      </c>
      <c r="E712" s="1">
        <f t="shared" si="134"/>
        <v>118.7</v>
      </c>
      <c r="F712">
        <v>103.8</v>
      </c>
      <c r="G712" s="1">
        <v>34</v>
      </c>
      <c r="H712">
        <f t="shared" si="135"/>
        <v>-14.900000000000006</v>
      </c>
      <c r="I712">
        <f t="shared" si="136"/>
        <v>-0.87647058823529445</v>
      </c>
      <c r="J712">
        <f t="shared" si="137"/>
        <v>0</v>
      </c>
      <c r="K712">
        <f t="shared" si="138"/>
        <v>0.70591649737063444</v>
      </c>
      <c r="L712">
        <f t="shared" si="139"/>
        <v>0</v>
      </c>
      <c r="M712" s="4">
        <f t="shared" si="140"/>
        <v>0</v>
      </c>
      <c r="N712">
        <f t="shared" si="141"/>
        <v>0</v>
      </c>
      <c r="O712" cm="1">
        <f t="array" ref="O712:Q712">_xlfn.XLOOKUP(C712, X$2:X$7, AG$2:AI$7)</f>
        <v>3.22</v>
      </c>
      <c r="P712">
        <v>-0.14799999999999999</v>
      </c>
      <c r="Q712">
        <v>0</v>
      </c>
      <c r="R712">
        <f t="shared" si="142"/>
        <v>2.4522056842863207E-2</v>
      </c>
      <c r="S712" s="4">
        <f t="shared" si="143"/>
        <v>1</v>
      </c>
      <c r="T712">
        <f t="shared" si="144"/>
        <v>-1</v>
      </c>
      <c r="U712">
        <f t="shared" si="145"/>
        <v>-1</v>
      </c>
    </row>
    <row r="713" spans="1:21">
      <c r="A713" t="s">
        <v>103</v>
      </c>
      <c r="B713" t="s">
        <v>96</v>
      </c>
      <c r="C713" t="s">
        <v>159</v>
      </c>
      <c r="D713" s="1">
        <v>228</v>
      </c>
      <c r="E713" s="1">
        <f t="shared" si="134"/>
        <v>190</v>
      </c>
      <c r="F713">
        <v>72.599999999999994</v>
      </c>
      <c r="G713" s="1">
        <v>33</v>
      </c>
      <c r="H713">
        <f t="shared" si="135"/>
        <v>-117.4</v>
      </c>
      <c r="I713">
        <f t="shared" si="136"/>
        <v>-6.9058823529411768</v>
      </c>
      <c r="J713">
        <f t="shared" si="137"/>
        <v>0</v>
      </c>
      <c r="K713">
        <f t="shared" si="138"/>
        <v>0.57566309754037293</v>
      </c>
      <c r="L713">
        <f t="shared" si="139"/>
        <v>0</v>
      </c>
      <c r="M713" s="4">
        <f t="shared" si="140"/>
        <v>0</v>
      </c>
      <c r="N713">
        <f t="shared" si="141"/>
        <v>0</v>
      </c>
      <c r="O713" cm="1">
        <f t="array" ref="O713:Q713">_xlfn.XLOOKUP(C713, X$2:X$7, AG$2:AI$7)</f>
        <v>56.4</v>
      </c>
      <c r="P713">
        <v>-0.16300000000000001</v>
      </c>
      <c r="Q713">
        <v>0</v>
      </c>
      <c r="R713">
        <f t="shared" si="142"/>
        <v>0.30358474304706712</v>
      </c>
      <c r="S713" s="4">
        <f t="shared" si="143"/>
        <v>1</v>
      </c>
      <c r="T713">
        <f t="shared" si="144"/>
        <v>-1</v>
      </c>
      <c r="U713">
        <f t="shared" si="145"/>
        <v>-1</v>
      </c>
    </row>
    <row r="714" spans="1:21">
      <c r="A714" t="s">
        <v>496</v>
      </c>
      <c r="B714" t="s">
        <v>96</v>
      </c>
      <c r="C714" t="s">
        <v>586</v>
      </c>
      <c r="D714" s="1">
        <v>107.9</v>
      </c>
      <c r="E714" s="1">
        <f t="shared" si="134"/>
        <v>73</v>
      </c>
      <c r="F714">
        <v>32.299999999999997</v>
      </c>
      <c r="G714" s="1">
        <v>89</v>
      </c>
      <c r="H714">
        <f t="shared" si="135"/>
        <v>-40.700000000000003</v>
      </c>
      <c r="I714">
        <f t="shared" si="136"/>
        <v>-2.3941176470588239</v>
      </c>
      <c r="J714">
        <f t="shared" si="137"/>
        <v>0</v>
      </c>
      <c r="K714">
        <f t="shared" si="138"/>
        <v>1.0011070456397422</v>
      </c>
      <c r="L714">
        <f t="shared" si="139"/>
        <v>0</v>
      </c>
      <c r="M714" s="4">
        <f t="shared" si="140"/>
        <v>0</v>
      </c>
      <c r="N714">
        <f t="shared" si="141"/>
        <v>0</v>
      </c>
      <c r="O714" cm="1">
        <f t="array" ref="O714:Q714">_xlfn.XLOOKUP(C714, X$2:X$7, AG$2:AI$7)</f>
        <v>5.0900000000000001E-2</v>
      </c>
      <c r="P714">
        <v>-3.9</v>
      </c>
      <c r="Q714">
        <v>73.900000000000006</v>
      </c>
      <c r="R714">
        <f t="shared" si="142"/>
        <v>151.68537630000006</v>
      </c>
      <c r="S714" s="4">
        <f t="shared" si="143"/>
        <v>1</v>
      </c>
      <c r="T714">
        <f t="shared" si="144"/>
        <v>-1</v>
      </c>
      <c r="U714">
        <f t="shared" si="145"/>
        <v>-1</v>
      </c>
    </row>
    <row r="715" spans="1:21">
      <c r="A715" t="s">
        <v>532</v>
      </c>
      <c r="B715" t="s">
        <v>96</v>
      </c>
      <c r="C715" t="s">
        <v>586</v>
      </c>
      <c r="D715" s="1">
        <v>107.9</v>
      </c>
      <c r="E715" s="1">
        <f t="shared" si="134"/>
        <v>73</v>
      </c>
      <c r="F715">
        <v>17.100000000000001</v>
      </c>
      <c r="G715" s="1">
        <v>126</v>
      </c>
      <c r="H715">
        <f t="shared" si="135"/>
        <v>-55.9</v>
      </c>
      <c r="I715">
        <f t="shared" si="136"/>
        <v>-3.2882352941176469</v>
      </c>
      <c r="J715">
        <f t="shared" si="137"/>
        <v>0</v>
      </c>
      <c r="K715">
        <f t="shared" si="138"/>
        <v>1.0011070456397422</v>
      </c>
      <c r="L715">
        <f t="shared" si="139"/>
        <v>0</v>
      </c>
      <c r="M715" s="4">
        <f t="shared" si="140"/>
        <v>0</v>
      </c>
      <c r="N715">
        <f t="shared" si="141"/>
        <v>0</v>
      </c>
      <c r="O715" cm="1">
        <f t="array" ref="O715:Q715">_xlfn.XLOOKUP(C715, X$2:X$7, AG$2:AI$7)</f>
        <v>5.0900000000000001E-2</v>
      </c>
      <c r="P715">
        <v>-3.9</v>
      </c>
      <c r="Q715">
        <v>73.900000000000006</v>
      </c>
      <c r="R715">
        <f t="shared" si="142"/>
        <v>455.81666280000002</v>
      </c>
      <c r="S715" s="4">
        <f t="shared" si="143"/>
        <v>1</v>
      </c>
      <c r="T715">
        <f t="shared" si="144"/>
        <v>-1</v>
      </c>
      <c r="U715">
        <f t="shared" si="145"/>
        <v>-1</v>
      </c>
    </row>
    <row r="716" spans="1:21">
      <c r="A716" t="s">
        <v>564</v>
      </c>
      <c r="B716" t="s">
        <v>96</v>
      </c>
      <c r="C716" t="s">
        <v>586</v>
      </c>
      <c r="D716" s="1">
        <v>107.9</v>
      </c>
      <c r="E716" s="1">
        <f t="shared" si="134"/>
        <v>73</v>
      </c>
      <c r="F716">
        <v>8</v>
      </c>
      <c r="G716" s="1">
        <v>159</v>
      </c>
      <c r="H716">
        <f t="shared" si="135"/>
        <v>-65</v>
      </c>
      <c r="I716">
        <f t="shared" si="136"/>
        <v>-3.8235294117647061</v>
      </c>
      <c r="J716">
        <f t="shared" si="137"/>
        <v>0</v>
      </c>
      <c r="K716">
        <f t="shared" si="138"/>
        <v>1.0011070456397422</v>
      </c>
      <c r="L716">
        <f t="shared" si="139"/>
        <v>0</v>
      </c>
      <c r="M716" s="4">
        <f t="shared" si="140"/>
        <v>0</v>
      </c>
      <c r="N716">
        <f t="shared" si="141"/>
        <v>0</v>
      </c>
      <c r="O716" cm="1">
        <f t="array" ref="O716:Q716">_xlfn.XLOOKUP(C716, X$2:X$7, AG$2:AI$7)</f>
        <v>5.0900000000000001E-2</v>
      </c>
      <c r="P716">
        <v>-3.9</v>
      </c>
      <c r="Q716">
        <v>73.900000000000006</v>
      </c>
      <c r="R716">
        <f t="shared" si="142"/>
        <v>864.28358429999992</v>
      </c>
      <c r="S716" s="4">
        <f t="shared" si="143"/>
        <v>1</v>
      </c>
      <c r="T716">
        <f t="shared" si="144"/>
        <v>-1</v>
      </c>
      <c r="U716">
        <f t="shared" si="145"/>
        <v>-1</v>
      </c>
    </row>
    <row r="717" spans="1:21">
      <c r="A717" t="s">
        <v>577</v>
      </c>
      <c r="B717" t="s">
        <v>96</v>
      </c>
      <c r="C717" t="s">
        <v>586</v>
      </c>
      <c r="D717" s="1">
        <v>107.9</v>
      </c>
      <c r="E717" s="1">
        <f t="shared" si="134"/>
        <v>73</v>
      </c>
      <c r="F717">
        <v>1.3</v>
      </c>
      <c r="G717" s="1">
        <v>172</v>
      </c>
      <c r="H717">
        <f t="shared" si="135"/>
        <v>-71.7</v>
      </c>
      <c r="I717">
        <f t="shared" si="136"/>
        <v>-4.2176470588235295</v>
      </c>
      <c r="J717">
        <f t="shared" si="137"/>
        <v>0</v>
      </c>
      <c r="K717">
        <f t="shared" si="138"/>
        <v>1.0011070456397422</v>
      </c>
      <c r="L717">
        <f t="shared" si="139"/>
        <v>0</v>
      </c>
      <c r="M717" s="4">
        <f t="shared" si="140"/>
        <v>0</v>
      </c>
      <c r="N717">
        <f t="shared" si="141"/>
        <v>0</v>
      </c>
      <c r="O717" cm="1">
        <f t="array" ref="O717:Q717">_xlfn.XLOOKUP(C717, X$2:X$7, AG$2:AI$7)</f>
        <v>5.0900000000000001E-2</v>
      </c>
      <c r="P717">
        <v>-3.9</v>
      </c>
      <c r="Q717">
        <v>73.900000000000006</v>
      </c>
      <c r="R717">
        <f t="shared" si="142"/>
        <v>1060.7161752000002</v>
      </c>
      <c r="S717" s="4">
        <f t="shared" si="143"/>
        <v>1</v>
      </c>
      <c r="T717">
        <f t="shared" si="144"/>
        <v>-1</v>
      </c>
      <c r="U717">
        <f t="shared" si="145"/>
        <v>-1</v>
      </c>
    </row>
    <row r="718" spans="1:21">
      <c r="A718" t="s">
        <v>616</v>
      </c>
      <c r="B718" t="s">
        <v>96</v>
      </c>
      <c r="C718" t="s">
        <v>729</v>
      </c>
      <c r="D718" s="1">
        <v>99</v>
      </c>
      <c r="E718" s="1">
        <f t="shared" si="134"/>
        <v>82.5</v>
      </c>
      <c r="F718">
        <v>74.099999999999994</v>
      </c>
      <c r="G718" s="1">
        <v>30</v>
      </c>
      <c r="H718">
        <f t="shared" si="135"/>
        <v>-8.4000000000000057</v>
      </c>
      <c r="I718">
        <f t="shared" si="136"/>
        <v>-0.49411764705882388</v>
      </c>
      <c r="J718">
        <f t="shared" si="137"/>
        <v>0</v>
      </c>
      <c r="K718">
        <f t="shared" si="138"/>
        <v>1.0909252297006058</v>
      </c>
      <c r="L718">
        <f t="shared" si="139"/>
        <v>0</v>
      </c>
      <c r="M718" s="4">
        <f t="shared" si="140"/>
        <v>0</v>
      </c>
      <c r="N718">
        <f t="shared" si="141"/>
        <v>0</v>
      </c>
      <c r="O718" cm="1">
        <f t="array" ref="O718:Q718">_xlfn.XLOOKUP(C718, X$2:X$7, AG$2:AI$7)</f>
        <v>55.4</v>
      </c>
      <c r="P718">
        <v>-0.253</v>
      </c>
      <c r="Q718">
        <v>0</v>
      </c>
      <c r="R718">
        <f t="shared" si="142"/>
        <v>3.268026000468268E-2</v>
      </c>
      <c r="S718" s="4">
        <f t="shared" si="143"/>
        <v>1</v>
      </c>
      <c r="T718">
        <f t="shared" si="144"/>
        <v>-1</v>
      </c>
      <c r="U718">
        <f t="shared" si="145"/>
        <v>-1</v>
      </c>
    </row>
    <row r="719" spans="1:21">
      <c r="A719" t="s">
        <v>663</v>
      </c>
      <c r="B719" t="s">
        <v>96</v>
      </c>
      <c r="C719" t="s">
        <v>729</v>
      </c>
      <c r="D719" s="1">
        <v>99</v>
      </c>
      <c r="E719" s="1">
        <f t="shared" si="134"/>
        <v>82.5</v>
      </c>
      <c r="F719">
        <v>21.9</v>
      </c>
      <c r="G719" s="1">
        <v>77</v>
      </c>
      <c r="H719">
        <f t="shared" si="135"/>
        <v>-60.6</v>
      </c>
      <c r="I719">
        <f t="shared" si="136"/>
        <v>-3.5647058823529414</v>
      </c>
      <c r="J719">
        <f t="shared" si="137"/>
        <v>0</v>
      </c>
      <c r="K719">
        <f t="shared" si="138"/>
        <v>1.0909252297006058</v>
      </c>
      <c r="L719">
        <f t="shared" si="139"/>
        <v>0</v>
      </c>
      <c r="M719" s="4">
        <f t="shared" si="140"/>
        <v>0</v>
      </c>
      <c r="N719">
        <f t="shared" si="141"/>
        <v>0</v>
      </c>
      <c r="O719" cm="1">
        <f t="array" ref="O719:Q719">_xlfn.XLOOKUP(C719, X$2:X$7, AG$2:AI$7)</f>
        <v>55.4</v>
      </c>
      <c r="P719">
        <v>-0.253</v>
      </c>
      <c r="Q719">
        <v>0</v>
      </c>
      <c r="R719">
        <f t="shared" si="142"/>
        <v>2.2391841886097716E-7</v>
      </c>
      <c r="S719" s="4">
        <f t="shared" si="143"/>
        <v>1</v>
      </c>
      <c r="T719">
        <f t="shared" si="144"/>
        <v>-1</v>
      </c>
      <c r="U719">
        <f t="shared" si="145"/>
        <v>-1</v>
      </c>
    </row>
    <row r="720" spans="1:21">
      <c r="A720" t="s">
        <v>685</v>
      </c>
      <c r="B720" t="s">
        <v>96</v>
      </c>
      <c r="C720" t="s">
        <v>729</v>
      </c>
      <c r="D720" s="1">
        <v>99</v>
      </c>
      <c r="E720" s="1">
        <f t="shared" si="134"/>
        <v>82.5</v>
      </c>
      <c r="F720">
        <v>14.3</v>
      </c>
      <c r="G720" s="1">
        <v>100</v>
      </c>
      <c r="H720">
        <f t="shared" si="135"/>
        <v>-68.2</v>
      </c>
      <c r="I720">
        <f t="shared" si="136"/>
        <v>-4.0117647058823529</v>
      </c>
      <c r="J720">
        <f t="shared" si="137"/>
        <v>0</v>
      </c>
      <c r="K720">
        <f t="shared" si="138"/>
        <v>1.0909252297006058</v>
      </c>
      <c r="L720">
        <f t="shared" si="139"/>
        <v>0</v>
      </c>
      <c r="M720" s="4">
        <f t="shared" si="140"/>
        <v>0</v>
      </c>
      <c r="N720">
        <f t="shared" si="141"/>
        <v>0</v>
      </c>
      <c r="O720" cm="1">
        <f t="array" ref="O720:Q720">_xlfn.XLOOKUP(C720, X$2:X$7, AG$2:AI$7)</f>
        <v>55.4</v>
      </c>
      <c r="P720">
        <v>-0.253</v>
      </c>
      <c r="Q720">
        <v>0</v>
      </c>
      <c r="R720">
        <f t="shared" si="142"/>
        <v>6.6516628563637784E-10</v>
      </c>
      <c r="S720" s="4">
        <f t="shared" si="143"/>
        <v>1</v>
      </c>
      <c r="T720">
        <f t="shared" si="144"/>
        <v>-1</v>
      </c>
      <c r="U720">
        <f t="shared" si="145"/>
        <v>-1</v>
      </c>
    </row>
    <row r="721" spans="1:21">
      <c r="A721" t="s">
        <v>692</v>
      </c>
      <c r="B721" t="s">
        <v>96</v>
      </c>
      <c r="C721" t="s">
        <v>729</v>
      </c>
      <c r="D721" s="1">
        <v>99</v>
      </c>
      <c r="E721" s="1">
        <f t="shared" si="134"/>
        <v>82.5</v>
      </c>
      <c r="F721">
        <v>12.8</v>
      </c>
      <c r="G721" s="1">
        <v>107</v>
      </c>
      <c r="H721">
        <f t="shared" si="135"/>
        <v>-69.7</v>
      </c>
      <c r="I721">
        <f t="shared" si="136"/>
        <v>-4.1000000000000005</v>
      </c>
      <c r="J721">
        <f t="shared" si="137"/>
        <v>0</v>
      </c>
      <c r="K721">
        <f t="shared" si="138"/>
        <v>1.0909252297006058</v>
      </c>
      <c r="L721">
        <f t="shared" si="139"/>
        <v>0</v>
      </c>
      <c r="M721" s="4">
        <f t="shared" si="140"/>
        <v>0</v>
      </c>
      <c r="N721">
        <f t="shared" si="141"/>
        <v>0</v>
      </c>
      <c r="O721" cm="1">
        <f t="array" ref="O721:Q721">_xlfn.XLOOKUP(C721, X$2:X$7, AG$2:AI$7)</f>
        <v>55.4</v>
      </c>
      <c r="P721">
        <v>-0.253</v>
      </c>
      <c r="Q721">
        <v>0</v>
      </c>
      <c r="R721">
        <f t="shared" si="142"/>
        <v>1.1318651836784399E-10</v>
      </c>
      <c r="S721" s="4">
        <f t="shared" si="143"/>
        <v>1</v>
      </c>
      <c r="T721">
        <f t="shared" si="144"/>
        <v>-1</v>
      </c>
      <c r="U721">
        <f t="shared" si="145"/>
        <v>-1</v>
      </c>
    </row>
    <row r="722" spans="1:21">
      <c r="A722" t="s">
        <v>698</v>
      </c>
      <c r="B722" t="s">
        <v>96</v>
      </c>
      <c r="C722" t="s">
        <v>729</v>
      </c>
      <c r="D722" s="1">
        <v>99</v>
      </c>
      <c r="E722" s="1">
        <f t="shared" si="134"/>
        <v>82.5</v>
      </c>
      <c r="F722">
        <v>11.7</v>
      </c>
      <c r="G722" s="1">
        <v>113</v>
      </c>
      <c r="H722">
        <f t="shared" si="135"/>
        <v>-70.8</v>
      </c>
      <c r="I722">
        <f t="shared" si="136"/>
        <v>-4.1647058823529406</v>
      </c>
      <c r="J722">
        <f t="shared" si="137"/>
        <v>0</v>
      </c>
      <c r="K722">
        <f t="shared" si="138"/>
        <v>1.0909252297006058</v>
      </c>
      <c r="L722">
        <f t="shared" si="139"/>
        <v>0</v>
      </c>
      <c r="M722" s="4">
        <f t="shared" si="140"/>
        <v>0</v>
      </c>
      <c r="N722">
        <f t="shared" si="141"/>
        <v>0</v>
      </c>
      <c r="O722" cm="1">
        <f t="array" ref="O722:Q722">_xlfn.XLOOKUP(C722, X$2:X$7, AG$2:AI$7)</f>
        <v>55.4</v>
      </c>
      <c r="P722">
        <v>-0.253</v>
      </c>
      <c r="Q722">
        <v>0</v>
      </c>
      <c r="R722">
        <f t="shared" si="142"/>
        <v>2.4804797027299827E-11</v>
      </c>
      <c r="S722" s="4">
        <f t="shared" si="143"/>
        <v>1</v>
      </c>
      <c r="T722">
        <f t="shared" si="144"/>
        <v>-1</v>
      </c>
      <c r="U722">
        <f t="shared" si="145"/>
        <v>-1</v>
      </c>
    </row>
    <row r="723" spans="1:21">
      <c r="A723" t="s">
        <v>718</v>
      </c>
      <c r="B723" t="s">
        <v>96</v>
      </c>
      <c r="C723" t="s">
        <v>729</v>
      </c>
      <c r="D723" s="1">
        <v>99</v>
      </c>
      <c r="E723" s="1">
        <f t="shared" si="134"/>
        <v>82.5</v>
      </c>
      <c r="F723">
        <v>5.5</v>
      </c>
      <c r="G723" s="1">
        <v>134</v>
      </c>
      <c r="H723">
        <f t="shared" si="135"/>
        <v>-77</v>
      </c>
      <c r="I723">
        <f t="shared" si="136"/>
        <v>-4.5294117647058822</v>
      </c>
      <c r="J723">
        <f t="shared" si="137"/>
        <v>0</v>
      </c>
      <c r="K723">
        <f t="shared" si="138"/>
        <v>1.0909252297006058</v>
      </c>
      <c r="L723">
        <f t="shared" si="139"/>
        <v>0</v>
      </c>
      <c r="M723" s="4">
        <f t="shared" si="140"/>
        <v>0</v>
      </c>
      <c r="N723">
        <f t="shared" si="141"/>
        <v>0</v>
      </c>
      <c r="O723" cm="1">
        <f t="array" ref="O723:Q723">_xlfn.XLOOKUP(C723, X$2:X$7, AG$2:AI$7)</f>
        <v>55.4</v>
      </c>
      <c r="P723">
        <v>-0.253</v>
      </c>
      <c r="Q723">
        <v>0</v>
      </c>
      <c r="R723">
        <f t="shared" si="142"/>
        <v>1.2221628976285915E-13</v>
      </c>
      <c r="S723" s="4">
        <f t="shared" si="143"/>
        <v>1</v>
      </c>
      <c r="T723">
        <f t="shared" si="144"/>
        <v>-1</v>
      </c>
      <c r="U723">
        <f t="shared" si="145"/>
        <v>-1</v>
      </c>
    </row>
    <row r="724" spans="1:21">
      <c r="A724" t="s">
        <v>280</v>
      </c>
      <c r="B724" t="s">
        <v>96</v>
      </c>
      <c r="C724" t="s">
        <v>407</v>
      </c>
      <c r="D724" s="1">
        <v>116.9</v>
      </c>
      <c r="E724" s="1">
        <f t="shared" si="134"/>
        <v>93.4</v>
      </c>
      <c r="F724">
        <v>38.9</v>
      </c>
      <c r="G724" s="1">
        <v>121</v>
      </c>
      <c r="H724">
        <f t="shared" si="135"/>
        <v>-54.500000000000007</v>
      </c>
      <c r="I724">
        <f t="shared" si="136"/>
        <v>-3.2058823529411771</v>
      </c>
      <c r="J724">
        <f t="shared" si="137"/>
        <v>0</v>
      </c>
      <c r="K724">
        <f t="shared" si="138"/>
        <v>0.94226603101549489</v>
      </c>
      <c r="L724">
        <f t="shared" si="139"/>
        <v>0</v>
      </c>
      <c r="M724" s="4">
        <f t="shared" si="140"/>
        <v>0</v>
      </c>
      <c r="N724">
        <f t="shared" si="141"/>
        <v>0</v>
      </c>
      <c r="O724" cm="1">
        <f t="array" ref="O724:Q724">_xlfn.XLOOKUP(C724, X$2:X$7, AG$2:AI$7)</f>
        <v>57.8</v>
      </c>
      <c r="P724">
        <v>-6.4299999999999996E-2</v>
      </c>
      <c r="Q724">
        <v>0</v>
      </c>
      <c r="R724">
        <f t="shared" si="142"/>
        <v>2.8187550475457571E-2</v>
      </c>
      <c r="S724" s="4">
        <f t="shared" si="143"/>
        <v>1</v>
      </c>
      <c r="T724">
        <f t="shared" si="144"/>
        <v>-1</v>
      </c>
      <c r="U724">
        <f t="shared" si="145"/>
        <v>-1</v>
      </c>
    </row>
    <row r="725" spans="1:21">
      <c r="A725" t="s">
        <v>334</v>
      </c>
      <c r="B725" t="s">
        <v>96</v>
      </c>
      <c r="C725" t="s">
        <v>407</v>
      </c>
      <c r="D725" s="1">
        <v>116.9</v>
      </c>
      <c r="E725" s="1">
        <f t="shared" si="134"/>
        <v>93.4</v>
      </c>
      <c r="F725">
        <v>11.7</v>
      </c>
      <c r="G725" s="1">
        <v>175</v>
      </c>
      <c r="H725">
        <f t="shared" si="135"/>
        <v>-81.7</v>
      </c>
      <c r="I725">
        <f t="shared" si="136"/>
        <v>-4.8058823529411763</v>
      </c>
      <c r="J725">
        <f t="shared" si="137"/>
        <v>0</v>
      </c>
      <c r="K725">
        <f t="shared" si="138"/>
        <v>0.94226603101549489</v>
      </c>
      <c r="L725">
        <f t="shared" si="139"/>
        <v>0</v>
      </c>
      <c r="M725" s="4">
        <f t="shared" si="140"/>
        <v>0</v>
      </c>
      <c r="N725">
        <f t="shared" si="141"/>
        <v>0</v>
      </c>
      <c r="O725" cm="1">
        <f t="array" ref="O725:Q725">_xlfn.XLOOKUP(C725, X$2:X$7, AG$2:AI$7)</f>
        <v>57.8</v>
      </c>
      <c r="P725">
        <v>-6.4299999999999996E-2</v>
      </c>
      <c r="Q725">
        <v>0</v>
      </c>
      <c r="R725">
        <f t="shared" si="142"/>
        <v>8.7518534514314703E-4</v>
      </c>
      <c r="S725" s="4">
        <f t="shared" si="143"/>
        <v>1</v>
      </c>
      <c r="T725">
        <f t="shared" si="144"/>
        <v>-1</v>
      </c>
      <c r="U725">
        <f t="shared" si="145"/>
        <v>-1</v>
      </c>
    </row>
    <row r="726" spans="1:21">
      <c r="A726" t="s">
        <v>352</v>
      </c>
      <c r="B726" t="s">
        <v>96</v>
      </c>
      <c r="C726" t="s">
        <v>407</v>
      </c>
      <c r="D726" s="1">
        <v>116.9</v>
      </c>
      <c r="E726" s="1">
        <f t="shared" si="134"/>
        <v>93.4</v>
      </c>
      <c r="F726">
        <v>8.3000000000000007</v>
      </c>
      <c r="G726" s="1">
        <v>193</v>
      </c>
      <c r="H726">
        <f t="shared" si="135"/>
        <v>-85.100000000000009</v>
      </c>
      <c r="I726">
        <f t="shared" si="136"/>
        <v>-5.0058823529411773</v>
      </c>
      <c r="J726">
        <f t="shared" si="137"/>
        <v>0</v>
      </c>
      <c r="K726">
        <f t="shared" si="138"/>
        <v>0.94226603101549489</v>
      </c>
      <c r="L726">
        <f t="shared" si="139"/>
        <v>0</v>
      </c>
      <c r="M726" s="4">
        <f t="shared" si="140"/>
        <v>0</v>
      </c>
      <c r="N726">
        <f t="shared" si="141"/>
        <v>0</v>
      </c>
      <c r="O726" cm="1">
        <f t="array" ref="O726:Q726">_xlfn.XLOOKUP(C726, X$2:X$7, AG$2:AI$7)</f>
        <v>57.8</v>
      </c>
      <c r="P726">
        <v>-6.4299999999999996E-2</v>
      </c>
      <c r="Q726">
        <v>0</v>
      </c>
      <c r="R726">
        <f t="shared" si="142"/>
        <v>2.750727716790037E-4</v>
      </c>
      <c r="S726" s="4">
        <f t="shared" si="143"/>
        <v>1</v>
      </c>
      <c r="T726">
        <f t="shared" si="144"/>
        <v>-1</v>
      </c>
      <c r="U726">
        <f t="shared" si="145"/>
        <v>-1</v>
      </c>
    </row>
  </sheetData>
  <autoFilter ref="C1:C728" xr:uid="{4A6AFE06-7DC2-466F-A6F6-A76BECA69C73}"/>
  <sortState xmlns:xlrd2="http://schemas.microsoft.com/office/spreadsheetml/2017/richdata2" ref="A2:V738">
    <sortCondition descending="1" ref="S1:S738"/>
  </sortState>
  <conditionalFormatting sqref="C1:C1000">
    <cfRule type="endsWith" dxfId="3" priority="1" operator="endsWith" text="TE">
      <formula>RIGHT(C1,LEN("TE"))="TE"</formula>
    </cfRule>
  </conditionalFormatting>
  <conditionalFormatting sqref="C1:K1 C2:F2 C3:E726 O1:W1 M1:N2 L1:L726 H2:K2 O2:V726 F3:F65 H3:M65 N3:N726 F66:M67 F68:F143 H68:M143 F144:M155 F156:F726 H156:M726">
    <cfRule type="endsWith" dxfId="2" priority="2" operator="endsWith" text="RB">
      <formula>RIGHT(C1,LEN("RB"))="RB"</formula>
    </cfRule>
  </conditionalFormatting>
  <conditionalFormatting sqref="C1:K1 O1:W1 M1:N2 L1:L726 C2:F2 H2:K2 O2:V726 F3:F65 H3:M65 C3:E726 N3:N726 F66:M67 F68:F143 H68:M143 F144:M155 F156:F726 H156:M726">
    <cfRule type="containsText" dxfId="1" priority="3" operator="containsText" text="QB">
      <formula>NOT(ISERROR(SEARCH("QB",C1)))</formula>
    </cfRule>
    <cfRule type="endsWith" dxfId="0" priority="4" operator="endsWith" text="WR">
      <formula>RIGHT(C1,LEN("WR"))="WR"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CD80CF13B892448DD5B1FA3DAE8D60" ma:contentTypeVersion="0" ma:contentTypeDescription="Create a new document." ma:contentTypeScope="" ma:versionID="eb6775a903988d6ef369f66c5a58a1d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1e2f1a904efbb8bfa9627fb808b6bd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9C8FD4-F146-4C2E-85AA-472C85783929}">
  <ds:schemaRefs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B2D6C22-571A-4843-ACA8-FCCEB74658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9E984C-7785-45D4-8732-907E3ADA79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Lankenau</dc:creator>
  <cp:lastModifiedBy>Will Lankenau</cp:lastModifiedBy>
  <dcterms:created xsi:type="dcterms:W3CDTF">2023-08-26T21:47:41Z</dcterms:created>
  <dcterms:modified xsi:type="dcterms:W3CDTF">2026-06-12T18:10:38Z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0x010100EACD80CF13B892448DD5B1FA3DAE8D60</vt:lpwstr>
  </property>
</Properties>
</file>